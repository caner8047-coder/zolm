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isyonTarifeleri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5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5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5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4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0" fillId="4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1" fillId="4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2" fillId="6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3" fillId="6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5" fillId="5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6" fillId="5" borderId="4" xfId="0" applyFill="true" applyBorder="true" applyFont="true">
      <alignment wrapText="true" vertical="center" horizontal="center"/>
      <protection locked="true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2" fontId="35" fillId="3" borderId="4" xfId="0" applyFont="true" applyBorder="true" applyFill="true" applyNumberFormat="true">
      <alignment horizontal="center"/>
    </xf>
    <xf numFmtId="2" fontId="35" fillId="7" borderId="4" xfId="0" applyFont="true" applyBorder="true" applyFill="true" applyNumberFormat="true">
      <alignment horizontal="center"/>
    </xf>
    <xf numFmtId="2" fontId="36" fillId="3" borderId="4" xfId="0" applyFont="true" applyBorder="true" applyFill="true" applyNumberFormat="true">
      <alignment horizontal="center"/>
    </xf>
    <xf numFmtId="2" fontId="36" fillId="7" borderId="4" xfId="0" applyFont="true" applyBorder="true" applyFill="true" applyNumberFormat="true">
      <alignment horizontal="center"/>
    </xf>
    <xf numFmtId="2" fontId="37" fillId="3" borderId="4" xfId="0" applyFont="true" applyBorder="true" applyFill="true" applyNumberFormat="true">
      <alignment horizontal="center"/>
    </xf>
    <xf numFmtId="2" fontId="37" fillId="7" borderId="4" xfId="0" applyFont="true" applyBorder="true" applyFill="true" applyNumberFormat="true">
      <alignment horizontal="center"/>
    </xf>
    <xf numFmtId="2" fontId="38" fillId="3" borderId="4" xfId="0" applyFont="true" applyBorder="true" applyFill="true" applyNumberFormat="true">
      <alignment horizontal="center"/>
    </xf>
    <xf numFmtId="2" fontId="38" fillId="7" borderId="4" xfId="0" applyFont="true" applyBorder="true" applyFill="true" applyNumberFormat="true">
      <alignment horizontal="center"/>
    </xf>
    <xf numFmtId="2" fontId="39" fillId="3" borderId="4" xfId="0" applyFont="true" applyBorder="true" applyFill="true" applyNumberFormat="true">
      <alignment horizontal="center"/>
    </xf>
    <xf numFmtId="2" fontId="39" fillId="7" borderId="4" xfId="0" applyFont="true" applyBorder="true" applyFill="true" applyNumberFormat="true">
      <alignment horizontal="center"/>
    </xf>
    <xf numFmtId="2" fontId="40" fillId="3" borderId="4" xfId="0" applyFont="true" applyBorder="true" applyFill="true" applyNumberFormat="true">
      <alignment horizontal="center"/>
    </xf>
    <xf numFmtId="2" fontId="40" fillId="7" borderId="4" xfId="0" applyFont="true" applyBorder="true" applyFill="true" applyNumberFormat="true">
      <alignment horizontal="center"/>
    </xf>
    <xf numFmtId="2" fontId="41" fillId="3" borderId="4" xfId="0" applyFont="true" applyBorder="true" applyFill="true" applyNumberFormat="true">
      <alignment horizontal="center"/>
    </xf>
    <xf numFmtId="2" fontId="41" fillId="7" borderId="4" xfId="0" applyFont="true" applyBorder="true" applyFill="true" applyNumberFormat="true">
      <alignment horizontal="center"/>
    </xf>
    <xf numFmtId="2" fontId="42" fillId="3" borderId="4" xfId="0" applyFont="true" applyBorder="true" applyFill="true" applyNumberFormat="true">
      <alignment horizontal="center"/>
    </xf>
    <xf numFmtId="2" fontId="42" fillId="7" borderId="4" xfId="0" applyFont="true" applyBorder="true" applyFill="true" applyNumberFormat="true">
      <alignment horizontal="center"/>
    </xf>
    <xf numFmtId="2" fontId="43" fillId="3" borderId="4" xfId="0" applyFont="true" applyBorder="true" applyFill="true" applyNumberFormat="true">
      <alignment horizontal="center"/>
    </xf>
    <xf numFmtId="2" fontId="43" fillId="7" borderId="4" xfId="0" applyFont="true" applyBorder="true" applyFill="true" applyNumberFormat="true">
      <alignment horizontal="center"/>
    </xf>
    <xf numFmtId="2" fontId="44" fillId="3" borderId="4" xfId="0" applyFont="true" applyBorder="true" applyFill="true" applyNumberFormat="true">
      <alignment horizontal="center"/>
    </xf>
    <xf numFmtId="2" fontId="44" fillId="7" borderId="4" xfId="0" applyFont="true" applyBorder="true" applyFill="true" applyNumberFormat="true">
      <alignment horizontal="center"/>
    </xf>
    <xf numFmtId="2" fontId="45" fillId="3" borderId="4" xfId="0" applyFont="true" applyBorder="true" applyFill="true" applyNumberFormat="true">
      <alignment horizontal="center"/>
    </xf>
    <xf numFmtId="2" fontId="45" fillId="7" borderId="4" xfId="0" applyFont="true" applyBorder="true" applyFill="true" applyNumberFormat="true">
      <alignment horizontal="center"/>
    </xf>
    <xf numFmtId="2" fontId="46" fillId="3" borderId="4" xfId="0" applyFont="true" applyBorder="true" applyFill="true" applyNumberFormat="true">
      <alignment horizontal="center"/>
    </xf>
    <xf numFmtId="2" fontId="46" fillId="7" borderId="4" xfId="0" applyFont="true" applyBorder="true" applyFill="true" applyNumberFormat="true">
      <alignment horizontal="center"/>
    </xf>
    <xf numFmtId="2" fontId="47" fillId="3" borderId="4" xfId="0" applyFont="true" applyBorder="true" applyFill="true" applyNumberFormat="true">
      <alignment horizontal="center"/>
    </xf>
    <xf numFmtId="2" fontId="47" fillId="7" borderId="4" xfId="0" applyFont="true" applyBorder="true" applyFill="true" applyNumberFormat="true">
      <alignment horizontal="center"/>
    </xf>
    <xf numFmtId="2" fontId="48" fillId="6" borderId="4" xfId="0" applyFont="true" applyBorder="true" applyFill="true" applyNumberFormat="true">
      <alignment horizontal="center"/>
    </xf>
    <xf numFmtId="2" fontId="48" fillId="6" borderId="4" xfId="0" applyFont="true" applyBorder="true" applyFill="true" applyNumberFormat="true">
      <alignment horizontal="center"/>
    </xf>
    <xf numFmtId="2" fontId="49" fillId="6" borderId="4" xfId="0" applyFont="true" applyBorder="true" applyFill="true" applyNumberFormat="true">
      <alignment horizontal="center"/>
    </xf>
    <xf numFmtId="2" fontId="49" fillId="6" borderId="4" xfId="0" applyFont="true" applyBorder="true" applyFill="true" applyNumberFormat="true">
      <alignment horizontal="center"/>
    </xf>
    <xf numFmtId="0" fontId="50" fillId="3" borderId="4" xfId="0" applyFont="true" applyBorder="true" applyFill="true">
      <alignment horizontal="center"/>
    </xf>
    <xf numFmtId="0" fontId="50" fillId="7" borderId="4" xfId="0" applyFont="true" applyBorder="true" applyFill="true">
      <alignment horizontal="center"/>
    </xf>
    <xf numFmtId="0" fontId="51" fillId="3" borderId="4" xfId="0" applyFont="true" applyBorder="true" applyFill="true">
      <alignment horizontal="center"/>
    </xf>
    <xf numFmtId="0" fontId="51" fillId="7" borderId="4" xfId="0" applyFont="true" applyBorder="true" applyFill="true">
      <alignment horizontal="center"/>
    </xf>
    <xf numFmtId="0" fontId="52" fillId="3" borderId="4" xfId="0" applyFont="true" applyBorder="true" applyFill="true">
      <alignment horizontal="center"/>
    </xf>
    <xf numFmtId="0" fontId="52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.0" state="frozen" topLeftCell="C2" activePane="bottomRight"/>
      <selection pane="bottomRight"/>
    </sheetView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5.0" customWidth="true"/>
    <col min="25" max="25" width="0.0" customWidth="true"/>
    <col min="26" max="26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SATICI STOK KODU</t>
        </is>
      </c>
      <c r="D1" s="8" t="inlineStr">
        <is>
          <t>BEDEN</t>
        </is>
      </c>
      <c r="E1" s="10" t="inlineStr">
        <is>
          <t>MODEL KODU</t>
        </is>
      </c>
      <c r="F1" s="12" t="inlineStr">
        <is>
          <t>KATEGORİ</t>
        </is>
      </c>
      <c r="G1" s="14" t="inlineStr">
        <is>
          <t>MARKA</t>
        </is>
      </c>
      <c r="H1" s="16" t="inlineStr">
        <is>
          <t>STOK</t>
        </is>
      </c>
      <c r="I1" s="18" t="inlineStr">
        <is>
          <t>1.Fiyat Alt Limit</t>
        </is>
      </c>
      <c r="J1" s="20" t="inlineStr">
        <is>
          <t>2.Fiyat Üst Limiti</t>
        </is>
      </c>
      <c r="K1" s="22" t="inlineStr">
        <is>
          <t>2.Fiyat Alt Limit</t>
        </is>
      </c>
      <c r="L1" s="24" t="inlineStr">
        <is>
          <t>3.Fiyat Üst Limiti</t>
        </is>
      </c>
      <c r="M1" s="26" t="inlineStr">
        <is>
          <t>3.Fiyat Alt Limit</t>
        </is>
      </c>
      <c r="N1" s="28" t="inlineStr">
        <is>
          <t>4.Fiyat Üst Limiti</t>
        </is>
      </c>
      <c r="O1" s="30" t="inlineStr">
        <is>
          <t>1.KOMİSYON</t>
        </is>
      </c>
      <c r="P1" s="32" t="inlineStr">
        <is>
          <t>2.KOMİSYON</t>
        </is>
      </c>
      <c r="Q1" s="34" t="inlineStr">
        <is>
          <t>3.KOMİSYON</t>
        </is>
      </c>
      <c r="R1" s="36" t="inlineStr">
        <is>
          <t>4.KOMİSYON</t>
        </is>
      </c>
      <c r="S1" s="38" t="inlineStr">
        <is>
          <t>KOMİSYONA ESAS FİYAT</t>
        </is>
      </c>
      <c r="T1" s="40" t="inlineStr">
        <is>
          <t>GÜNCEL KOMİSYON</t>
        </is>
      </c>
      <c r="U1" s="42" t="inlineStr">
        <is>
          <t>GÜNCEL TSF</t>
        </is>
      </c>
      <c r="V1" s="44" t="inlineStr">
        <is>
          <t>YENİ TSF (FİYAT GÜNCELLE)</t>
        </is>
      </c>
      <c r="W1" s="46" t="inlineStr">
        <is>
          <t>Hesaplanan Komisyon</t>
        </is>
      </c>
      <c r="X1" s="48" t="inlineStr">
        <is>
          <t>Tarife Sonuna Kadar Uygula</t>
        </is>
      </c>
      <c r="Y1" s="50" t="inlineStr">
        <is>
          <t>EXTERNAL ID</t>
        </is>
      </c>
      <c r="Z1" s="52" t="inlineStr">
        <is>
          <t>TARİFE GRUBU</t>
        </is>
      </c>
    </row>
    <row r="2">
      <c r="A2" s="54" t="inlineStr">
        <is>
          <t>Lines Puf, Teddy Kumaş Kırık Beyaz</t>
        </is>
      </c>
      <c r="B2" s="56" t="inlineStr">
        <is>
          <t>87874848484848484</t>
        </is>
      </c>
      <c r="C2" s="58" t="inlineStr">
        <is>
          <t>1PUFZEM00390</t>
        </is>
      </c>
      <c r="D2" s="60" t="inlineStr">
        <is>
          <t>Tek Ebat</t>
        </is>
      </c>
      <c r="E2" s="62" t="inlineStr">
        <is>
          <t>ZEMLİNES</t>
        </is>
      </c>
      <c r="F2" s="64" t="inlineStr">
        <is>
          <t>Puf &amp; Bench</t>
        </is>
      </c>
      <c r="G2" s="66" t="inlineStr">
        <is>
          <t>Zem</t>
        </is>
      </c>
      <c r="H2" s="68" t="n">
        <v>2091.0</v>
      </c>
      <c r="I2" s="70" t="n">
        <v>980.67</v>
      </c>
      <c r="J2" s="72" t="n">
        <v>980.66</v>
      </c>
      <c r="K2" s="74" t="n">
        <v>911.25</v>
      </c>
      <c r="L2" s="76" t="n">
        <v>911.24</v>
      </c>
      <c r="M2" s="78" t="n">
        <v>823.75</v>
      </c>
      <c r="N2" s="80" t="n">
        <v>823.74</v>
      </c>
      <c r="O2" s="82" t="n">
        <v>21.0</v>
      </c>
      <c r="P2" s="84" t="n">
        <v>15.6</v>
      </c>
      <c r="Q2" s="86" t="n">
        <v>13.4</v>
      </c>
      <c r="R2" s="88" t="n">
        <v>10.0</v>
      </c>
      <c r="S2" s="90" t="n">
        <v>1099.9</v>
      </c>
      <c r="T2" s="92" t="n">
        <v>21.0</v>
      </c>
      <c r="U2" s="94" t="n">
        <v>1099.9</v>
      </c>
      <c r="V2" s="96"/>
      <c r="W2" s="98">
        <f>IF(V2="","-",IF(V2&lt;=N2,R2,IF(V2&lt;K2,Q2,IF(V2&lt;I2,P2,O2))))</f>
        <v>0.0</v>
      </c>
      <c r="X2" s="100" t="inlineStr">
        <is>
          <t>Hayır</t>
        </is>
      </c>
      <c r="Y2" s="102"/>
      <c r="Z2" s="104" t="inlineStr">
        <is>
          <t>234868b12d51572262c80f465185356c</t>
        </is>
      </c>
    </row>
    <row r="3">
      <c r="A3" s="54" t="inlineStr">
        <is>
          <t>Long Line Puf, Kırık Beyaz Gold</t>
        </is>
      </c>
      <c r="B3" s="56" t="inlineStr">
        <is>
          <t>8898777ZE3039</t>
        </is>
      </c>
      <c r="C3" s="58" t="inlineStr">
        <is>
          <t>1PUFZEM00083</t>
        </is>
      </c>
      <c r="D3" s="60" t="inlineStr">
        <is>
          <t>Tek Ebat</t>
        </is>
      </c>
      <c r="E3" s="62" t="inlineStr">
        <is>
          <t>ZEMLONGLİNE</t>
        </is>
      </c>
      <c r="F3" s="64" t="inlineStr">
        <is>
          <t>Puf &amp; Bench</t>
        </is>
      </c>
      <c r="G3" s="66" t="inlineStr">
        <is>
          <t>Zem</t>
        </is>
      </c>
      <c r="H3" s="68" t="n">
        <v>2745.0</v>
      </c>
      <c r="I3" s="70" t="n">
        <v>1064.26</v>
      </c>
      <c r="J3" s="72" t="n">
        <v>1064.25</v>
      </c>
      <c r="K3" s="74" t="n">
        <v>981.18</v>
      </c>
      <c r="L3" s="76" t="n">
        <v>981.17</v>
      </c>
      <c r="M3" s="78" t="n">
        <v>877.82</v>
      </c>
      <c r="N3" s="80" t="n">
        <v>877.81</v>
      </c>
      <c r="O3" s="82" t="n">
        <v>21.0</v>
      </c>
      <c r="P3" s="84" t="n">
        <v>15.4</v>
      </c>
      <c r="Q3" s="86" t="n">
        <v>12.9</v>
      </c>
      <c r="R3" s="88" t="n">
        <v>9.1</v>
      </c>
      <c r="S3" s="90" t="n">
        <v>1030.33</v>
      </c>
      <c r="T3" s="92" t="n">
        <v>15.4</v>
      </c>
      <c r="U3" s="94" t="n">
        <v>1030.33</v>
      </c>
      <c r="V3" s="96"/>
      <c r="W3" s="98">
        <f>IF(V3="","-",IF(V3&lt;=N3,R3,IF(V3&lt;K3,Q3,IF(V3&lt;I3,P3,O3))))</f>
        <v>0.0</v>
      </c>
      <c r="X3" s="100" t="inlineStr">
        <is>
          <t>Evet</t>
        </is>
      </c>
      <c r="Y3" s="102" t="inlineStr">
        <is>
          <t>rh_574eb3cd2e64b739b02df3e14c2b92a7</t>
        </is>
      </c>
      <c r="Z3" s="104" t="inlineStr">
        <is>
          <t>234868b12d51572262c80f465185356c</t>
        </is>
      </c>
    </row>
    <row r="4">
      <c r="A4" s="54" t="inlineStr">
        <is>
          <t>Legna Bohem Köşe Takımı, Gri</t>
        </is>
      </c>
      <c r="B4" s="56" t="inlineStr">
        <is>
          <t>1907454502</t>
        </is>
      </c>
      <c r="C4" s="58" t="inlineStr">
        <is>
          <t>1KŞTZEM00040</t>
        </is>
      </c>
      <c r="D4" s="60" t="inlineStr">
        <is>
          <t>Tek Ebat</t>
        </is>
      </c>
      <c r="E4" s="62" t="inlineStr">
        <is>
          <t>ZEMKŞLG</t>
        </is>
      </c>
      <c r="F4" s="64" t="inlineStr">
        <is>
          <t>Köşe Takımı</t>
        </is>
      </c>
      <c r="G4" s="66" t="inlineStr">
        <is>
          <t>Zem</t>
        </is>
      </c>
      <c r="H4" s="68" t="n">
        <v>400.0</v>
      </c>
      <c r="I4" s="70" t="n">
        <v>13740.44</v>
      </c>
      <c r="J4" s="72" t="n">
        <v>13740.43</v>
      </c>
      <c r="K4" s="74" t="n">
        <v>13045.56</v>
      </c>
      <c r="L4" s="76" t="n">
        <v>13045.55</v>
      </c>
      <c r="M4" s="78" t="n">
        <v>12150.52</v>
      </c>
      <c r="N4" s="80" t="n">
        <v>12150.51</v>
      </c>
      <c r="O4" s="82" t="n">
        <v>19.0</v>
      </c>
      <c r="P4" s="84" t="n">
        <v>14.4</v>
      </c>
      <c r="Q4" s="86" t="n">
        <v>12.8</v>
      </c>
      <c r="R4" s="88" t="n">
        <v>10.4</v>
      </c>
      <c r="S4" s="90" t="n">
        <v>14039.05</v>
      </c>
      <c r="T4" s="92" t="n">
        <v>19.0</v>
      </c>
      <c r="U4" s="94" t="n">
        <v>14599.9</v>
      </c>
      <c r="V4" s="96"/>
      <c r="W4" s="98">
        <f>IF(V4="","-",IF(V4&lt;=N4,R4,IF(V4&lt;K4,Q4,IF(V4&lt;I4,P4,O4))))</f>
        <v>0.0</v>
      </c>
      <c r="X4" s="100" t="inlineStr">
        <is>
          <t>Hayır</t>
        </is>
      </c>
      <c r="Y4" s="102"/>
      <c r="Z4" s="104" t="inlineStr">
        <is>
          <t>234868b12d51572262c80f465185356c</t>
        </is>
      </c>
    </row>
    <row r="5">
      <c r="A5" s="54" t="inlineStr">
        <is>
          <t>Modica Bench, Sütlü Kahve</t>
        </is>
      </c>
      <c r="B5" s="56" t="inlineStr">
        <is>
          <t>2000719074514</t>
        </is>
      </c>
      <c r="C5" s="58" t="inlineStr">
        <is>
          <t>1BNCZEM00095</t>
        </is>
      </c>
      <c r="D5" s="60" t="inlineStr">
        <is>
          <t>Tek Ebat</t>
        </is>
      </c>
      <c r="E5" s="62" t="inlineStr">
        <is>
          <t>ZEMMDC</t>
        </is>
      </c>
      <c r="F5" s="64" t="inlineStr">
        <is>
          <t>Puf &amp; Bench</t>
        </is>
      </c>
      <c r="G5" s="66" t="inlineStr">
        <is>
          <t>Zem</t>
        </is>
      </c>
      <c r="H5" s="68" t="n">
        <v>351.0</v>
      </c>
      <c r="I5" s="70" t="n">
        <v>2636.94</v>
      </c>
      <c r="J5" s="72" t="n">
        <v>2636.93</v>
      </c>
      <c r="K5" s="74" t="n">
        <v>2460.77</v>
      </c>
      <c r="L5" s="76" t="n">
        <v>2460.76</v>
      </c>
      <c r="M5" s="78" t="n">
        <v>2236.35</v>
      </c>
      <c r="N5" s="80" t="n">
        <v>2236.34</v>
      </c>
      <c r="O5" s="82" t="n">
        <v>21.0</v>
      </c>
      <c r="P5" s="84" t="n">
        <v>15.7</v>
      </c>
      <c r="Q5" s="86" t="n">
        <v>13.6</v>
      </c>
      <c r="R5" s="88" t="n">
        <v>10.4</v>
      </c>
      <c r="S5" s="90" t="n">
        <v>2974.9</v>
      </c>
      <c r="T5" s="92" t="n">
        <v>21.0</v>
      </c>
      <c r="U5" s="94" t="n">
        <v>2999.9</v>
      </c>
      <c r="V5" s="96"/>
      <c r="W5" s="98">
        <f>IF(V5="","-",IF(V5&lt;=N5,R5,IF(V5&lt;K5,Q5,IF(V5&lt;I5,P5,O5))))</f>
        <v>0.0</v>
      </c>
      <c r="X5" s="100" t="inlineStr">
        <is>
          <t>Hayır</t>
        </is>
      </c>
      <c r="Y5" s="102"/>
      <c r="Z5" s="104" t="inlineStr">
        <is>
          <t>234868b12d51572262c80f465185356c</t>
        </is>
      </c>
    </row>
    <row r="6">
      <c r="A6" s="54" t="inlineStr">
        <is>
          <t>İriva Sandıklı Mekanizmalı Orta Sehpa/Bench, Gri</t>
        </is>
      </c>
      <c r="B6" s="56" t="inlineStr">
        <is>
          <t>1907880003</t>
        </is>
      </c>
      <c r="C6" s="58" t="inlineStr">
        <is>
          <t>1PUFZEM00652</t>
        </is>
      </c>
      <c r="D6" s="60" t="inlineStr">
        <is>
          <t>Tek Ebat</t>
        </is>
      </c>
      <c r="E6" s="62" t="inlineStr">
        <is>
          <t>ZEMIRVA</t>
        </is>
      </c>
      <c r="F6" s="64" t="inlineStr">
        <is>
          <t>Orta Sehpa</t>
        </is>
      </c>
      <c r="G6" s="66" t="inlineStr">
        <is>
          <t>Zem</t>
        </is>
      </c>
      <c r="H6" s="68" t="n">
        <v>496.0</v>
      </c>
      <c r="I6" s="70" t="n">
        <v>4604.4</v>
      </c>
      <c r="J6" s="72" t="n">
        <v>4604.39</v>
      </c>
      <c r="K6" s="74" t="n">
        <v>4166.6</v>
      </c>
      <c r="L6" s="76" t="n">
        <v>4166.59</v>
      </c>
      <c r="M6" s="78" t="n">
        <v>3712.2</v>
      </c>
      <c r="N6" s="80" t="n">
        <v>3712.19</v>
      </c>
      <c r="O6" s="82" t="n">
        <v>21.0</v>
      </c>
      <c r="P6" s="84" t="n">
        <v>15.8</v>
      </c>
      <c r="Q6" s="86" t="n">
        <v>12.8</v>
      </c>
      <c r="R6" s="88" t="n">
        <v>8.8</v>
      </c>
      <c r="S6" s="90" t="n">
        <v>5940.0</v>
      </c>
      <c r="T6" s="92" t="n">
        <v>21.0</v>
      </c>
      <c r="U6" s="94" t="n">
        <v>5990.0</v>
      </c>
      <c r="V6" s="96"/>
      <c r="W6" s="98">
        <f>IF(V6="","-",IF(V6&lt;=N6,R6,IF(V6&lt;K6,Q6,IF(V6&lt;I6,P6,O6))))</f>
        <v>0.0</v>
      </c>
      <c r="X6" s="100" t="inlineStr">
        <is>
          <t>Hayır</t>
        </is>
      </c>
      <c r="Y6" s="102"/>
      <c r="Z6" s="104" t="inlineStr">
        <is>
          <t>234868b12d51572262c80f465185356c</t>
        </is>
      </c>
    </row>
    <row r="7">
      <c r="A7" s="54" t="inlineStr">
        <is>
          <t>Contes Bohem Sandıklı Orta Sehpa Puf/Bench , Sütlü Kahve</t>
        </is>
      </c>
      <c r="B7" s="56" t="inlineStr">
        <is>
          <t>1907200501</t>
        </is>
      </c>
      <c r="C7" s="58" t="inlineStr">
        <is>
          <t>1BNCZEM00091</t>
        </is>
      </c>
      <c r="D7" s="60" t="inlineStr">
        <is>
          <t>Tek Ebat</t>
        </is>
      </c>
      <c r="E7" s="62" t="inlineStr">
        <is>
          <t>ZEMCNTS</t>
        </is>
      </c>
      <c r="F7" s="64" t="inlineStr">
        <is>
          <t>Puf &amp; Bench</t>
        </is>
      </c>
      <c r="G7" s="66" t="inlineStr">
        <is>
          <t>Zem</t>
        </is>
      </c>
      <c r="H7" s="68" t="n">
        <v>955.0</v>
      </c>
      <c r="I7" s="70" t="n">
        <v>2645.92</v>
      </c>
      <c r="J7" s="72" t="n">
        <v>2645.91</v>
      </c>
      <c r="K7" s="74" t="n">
        <v>2497.96</v>
      </c>
      <c r="L7" s="76" t="n">
        <v>2497.95</v>
      </c>
      <c r="M7" s="78" t="n">
        <v>2307.67</v>
      </c>
      <c r="N7" s="80" t="n">
        <v>2307.66</v>
      </c>
      <c r="O7" s="82" t="n">
        <v>21.0</v>
      </c>
      <c r="P7" s="84" t="n">
        <v>15.9</v>
      </c>
      <c r="Q7" s="86" t="n">
        <v>14.2</v>
      </c>
      <c r="R7" s="88" t="n">
        <v>11.7</v>
      </c>
      <c r="S7" s="90" t="n">
        <v>2924.9</v>
      </c>
      <c r="T7" s="92" t="n">
        <v>21.0</v>
      </c>
      <c r="U7" s="94" t="n">
        <v>2949.9</v>
      </c>
      <c r="V7" s="96"/>
      <c r="W7" s="98">
        <f>IF(V7="","-",IF(V7&lt;=N7,R7,IF(V7&lt;K7,Q7,IF(V7&lt;I7,P7,O7))))</f>
        <v>0.0</v>
      </c>
      <c r="X7" s="100" t="inlineStr">
        <is>
          <t>Hayır</t>
        </is>
      </c>
      <c r="Y7" s="102"/>
      <c r="Z7" s="104" t="inlineStr">
        <is>
          <t>234868b12d51572262c80f465185356c</t>
        </is>
      </c>
    </row>
    <row r="8">
      <c r="A8" s="54" t="inlineStr">
        <is>
          <t>Marin Puf, Beyaz Welsoft Kumaş</t>
        </is>
      </c>
      <c r="B8" s="56" t="inlineStr">
        <is>
          <t>877499844645466</t>
        </is>
      </c>
      <c r="C8" s="58" t="inlineStr">
        <is>
          <t>1PUFZEM00463</t>
        </is>
      </c>
      <c r="D8" s="60" t="inlineStr">
        <is>
          <t>Tek Ebat</t>
        </is>
      </c>
      <c r="E8" s="62" t="inlineStr">
        <is>
          <t>ZEMMARIN</t>
        </is>
      </c>
      <c r="F8" s="64" t="inlineStr">
        <is>
          <t>Puf &amp; Bench</t>
        </is>
      </c>
      <c r="G8" s="66" t="inlineStr">
        <is>
          <t>Zem</t>
        </is>
      </c>
      <c r="H8" s="68" t="n">
        <v>587.0</v>
      </c>
      <c r="I8" s="70" t="n">
        <v>1416.15</v>
      </c>
      <c r="J8" s="72" t="n">
        <v>1416.14</v>
      </c>
      <c r="K8" s="74" t="n">
        <v>1326.75</v>
      </c>
      <c r="L8" s="76" t="n">
        <v>1326.74</v>
      </c>
      <c r="M8" s="78" t="n">
        <v>1213.03</v>
      </c>
      <c r="N8" s="80" t="n">
        <v>1213.02</v>
      </c>
      <c r="O8" s="82" t="n">
        <v>21.0</v>
      </c>
      <c r="P8" s="84" t="n">
        <v>15.8</v>
      </c>
      <c r="Q8" s="86" t="n">
        <v>13.8</v>
      </c>
      <c r="R8" s="88" t="n">
        <v>10.9</v>
      </c>
      <c r="S8" s="90" t="n">
        <v>1416.1</v>
      </c>
      <c r="T8" s="92" t="n">
        <v>15.8</v>
      </c>
      <c r="U8" s="94" t="n">
        <v>1416.1</v>
      </c>
      <c r="V8" s="96"/>
      <c r="W8" s="98">
        <f>IF(V8="","-",IF(V8&lt;=N8,R8,IF(V8&lt;K8,Q8,IF(V8&lt;I8,P8,O8))))</f>
        <v>0.0</v>
      </c>
      <c r="X8" s="100" t="inlineStr">
        <is>
          <t>Evet</t>
        </is>
      </c>
      <c r="Y8" s="102" t="inlineStr">
        <is>
          <t>rh_840924d0aa1dbe6e7627f6b2ecb58560</t>
        </is>
      </c>
      <c r="Z8" s="104" t="inlineStr">
        <is>
          <t>234868b12d51572262c80f465185356c</t>
        </is>
      </c>
    </row>
    <row r="9">
      <c r="A9" s="54" t="inlineStr">
        <is>
          <t>Long Line Puf, Siyah Silver</t>
        </is>
      </c>
      <c r="B9" s="56" t="inlineStr">
        <is>
          <t>856ZZE3210288</t>
        </is>
      </c>
      <c r="C9" s="58" t="inlineStr">
        <is>
          <t>1PUFZEM00110</t>
        </is>
      </c>
      <c r="D9" s="60" t="inlineStr">
        <is>
          <t>Tek Ebat</t>
        </is>
      </c>
      <c r="E9" s="62" t="inlineStr">
        <is>
          <t>ZEMLONGLİNE</t>
        </is>
      </c>
      <c r="F9" s="64" t="inlineStr">
        <is>
          <t>Puf &amp; Bench</t>
        </is>
      </c>
      <c r="G9" s="66" t="inlineStr">
        <is>
          <t>Zem</t>
        </is>
      </c>
      <c r="H9" s="68" t="n">
        <v>796.0</v>
      </c>
      <c r="I9" s="70" t="n">
        <v>1061.11</v>
      </c>
      <c r="J9" s="72" t="n">
        <v>1061.1</v>
      </c>
      <c r="K9" s="74" t="n">
        <v>976.12</v>
      </c>
      <c r="L9" s="76" t="n">
        <v>976.11</v>
      </c>
      <c r="M9" s="78" t="n">
        <v>870.57</v>
      </c>
      <c r="N9" s="80" t="n">
        <v>870.56</v>
      </c>
      <c r="O9" s="82" t="n">
        <v>21.0</v>
      </c>
      <c r="P9" s="84" t="n">
        <v>15.4</v>
      </c>
      <c r="Q9" s="86" t="n">
        <v>12.8</v>
      </c>
      <c r="R9" s="88" t="n">
        <v>8.9</v>
      </c>
      <c r="S9" s="90" t="n">
        <v>1199.9</v>
      </c>
      <c r="T9" s="92" t="n">
        <v>21.0</v>
      </c>
      <c r="U9" s="94" t="n">
        <v>1199.9</v>
      </c>
      <c r="V9" s="96"/>
      <c r="W9" s="98">
        <f>IF(V9="","-",IF(V9&lt;=N9,R9,IF(V9&lt;K9,Q9,IF(V9&lt;I9,P9,O9))))</f>
        <v>0.0</v>
      </c>
      <c r="X9" s="100" t="inlineStr">
        <is>
          <t>Hayır</t>
        </is>
      </c>
      <c r="Y9" s="102"/>
      <c r="Z9" s="104" t="inlineStr">
        <is>
          <t>234868b12d51572262c80f465185356c</t>
        </is>
      </c>
    </row>
    <row r="10">
      <c r="A10" s="54" t="inlineStr">
        <is>
          <t>Legna Bohem Köşe Takımı, Açık Krem</t>
        </is>
      </c>
      <c r="B10" s="56" t="inlineStr">
        <is>
          <t>1907454501</t>
        </is>
      </c>
      <c r="C10" s="58" t="inlineStr">
        <is>
          <t>1KŞTZEM00039</t>
        </is>
      </c>
      <c r="D10" s="60" t="inlineStr">
        <is>
          <t>Tek Ebat</t>
        </is>
      </c>
      <c r="E10" s="62" t="inlineStr">
        <is>
          <t>ZEMKŞLG</t>
        </is>
      </c>
      <c r="F10" s="64" t="inlineStr">
        <is>
          <t>Köşe Takımı</t>
        </is>
      </c>
      <c r="G10" s="66" t="inlineStr">
        <is>
          <t>Zem</t>
        </is>
      </c>
      <c r="H10" s="68" t="n">
        <v>376.0</v>
      </c>
      <c r="I10" s="70" t="n">
        <v>13546.25</v>
      </c>
      <c r="J10" s="72" t="n">
        <v>13546.24</v>
      </c>
      <c r="K10" s="74" t="n">
        <v>12852.51</v>
      </c>
      <c r="L10" s="76" t="n">
        <v>12852.5</v>
      </c>
      <c r="M10" s="78" t="n">
        <v>11959.01</v>
      </c>
      <c r="N10" s="80" t="n">
        <v>11959.0</v>
      </c>
      <c r="O10" s="82" t="n">
        <v>19.0</v>
      </c>
      <c r="P10" s="84" t="n">
        <v>14.4</v>
      </c>
      <c r="Q10" s="86" t="n">
        <v>12.8</v>
      </c>
      <c r="R10" s="88" t="n">
        <v>10.3</v>
      </c>
      <c r="S10" s="90" t="n">
        <v>14449.9</v>
      </c>
      <c r="T10" s="92" t="n">
        <v>19.0</v>
      </c>
      <c r="U10" s="94" t="n">
        <v>14599.9</v>
      </c>
      <c r="V10" s="96"/>
      <c r="W10" s="98">
        <f>IF(V10="","-",IF(V10&lt;=N10,R10,IF(V10&lt;K10,Q10,IF(V10&lt;I10,P10,O10))))</f>
        <v>0.0</v>
      </c>
      <c r="X10" s="100" t="inlineStr">
        <is>
          <t>Hayır</t>
        </is>
      </c>
      <c r="Y10" s="102"/>
      <c r="Z10" s="104" t="inlineStr">
        <is>
          <t>234868b12d51572262c80f465185356c</t>
        </is>
      </c>
    </row>
    <row r="11">
      <c r="A11" s="54" t="inlineStr">
        <is>
          <t>Sevilla Bohem Üçlü Kanepe Natürel Ahşap, Sütlü Kahve</t>
        </is>
      </c>
      <c r="B11" s="56" t="inlineStr">
        <is>
          <t>0005199797</t>
        </is>
      </c>
      <c r="C11" s="58" t="inlineStr">
        <is>
          <t>1BRJZEM00166</t>
        </is>
      </c>
      <c r="D11" s="60" t="inlineStr">
        <is>
          <t>Tek Ebat</t>
        </is>
      </c>
      <c r="E11" s="62" t="inlineStr">
        <is>
          <t>ZEMSVL33</t>
        </is>
      </c>
      <c r="F11" s="64" t="inlineStr">
        <is>
          <t>Kanepe</t>
        </is>
      </c>
      <c r="G11" s="66" t="inlineStr">
        <is>
          <t>Zem</t>
        </is>
      </c>
      <c r="H11" s="68" t="n">
        <v>450.0</v>
      </c>
      <c r="I11" s="70" t="n">
        <v>12284.43</v>
      </c>
      <c r="J11" s="72" t="n">
        <v>12284.42</v>
      </c>
      <c r="K11" s="74" t="n">
        <v>11698.89</v>
      </c>
      <c r="L11" s="76" t="n">
        <v>11698.88</v>
      </c>
      <c r="M11" s="78" t="n">
        <v>10944.19</v>
      </c>
      <c r="N11" s="80" t="n">
        <v>10944.18</v>
      </c>
      <c r="O11" s="82" t="n">
        <v>19.0</v>
      </c>
      <c r="P11" s="84" t="n">
        <v>14.5</v>
      </c>
      <c r="Q11" s="86" t="n">
        <v>13.0</v>
      </c>
      <c r="R11" s="88" t="n">
        <v>10.8</v>
      </c>
      <c r="S11" s="90" t="n">
        <v>13249.9</v>
      </c>
      <c r="T11" s="92" t="n">
        <v>19.0</v>
      </c>
      <c r="U11" s="94" t="n">
        <v>13399.9</v>
      </c>
      <c r="V11" s="96"/>
      <c r="W11" s="98">
        <f>IF(V11="","-",IF(V11&lt;=N11,R11,IF(V11&lt;K11,Q11,IF(V11&lt;I11,P11,O11))))</f>
        <v>0.0</v>
      </c>
      <c r="X11" s="100" t="inlineStr">
        <is>
          <t>Hayır</t>
        </is>
      </c>
      <c r="Y11" s="102"/>
      <c r="Z11" s="104" t="inlineStr">
        <is>
          <t>234868b12d51572262c80f465185356c</t>
        </is>
      </c>
    </row>
    <row r="12">
      <c r="A12" s="54" t="inlineStr">
        <is>
          <t>Pavia Berjer Ceviz Ahşap, Kırık Beyaz</t>
        </is>
      </c>
      <c r="B12" s="56" t="inlineStr">
        <is>
          <t>00057819970</t>
        </is>
      </c>
      <c r="C12" s="58" t="inlineStr">
        <is>
          <t>1BRJZEM00187</t>
        </is>
      </c>
      <c r="D12" s="60" t="inlineStr">
        <is>
          <t>Tek Ebat</t>
        </is>
      </c>
      <c r="E12" s="62" t="inlineStr">
        <is>
          <t>ZEMPCV</t>
        </is>
      </c>
      <c r="F12" s="64" t="inlineStr">
        <is>
          <t>Berjer</t>
        </is>
      </c>
      <c r="G12" s="66" t="inlineStr">
        <is>
          <t>Zem</t>
        </is>
      </c>
      <c r="H12" s="68" t="n">
        <v>454.0</v>
      </c>
      <c r="I12" s="70" t="n">
        <v>5711.16</v>
      </c>
      <c r="J12" s="72" t="n">
        <v>5711.15</v>
      </c>
      <c r="K12" s="74" t="n">
        <v>5430.04</v>
      </c>
      <c r="L12" s="76" t="n">
        <v>5430.03</v>
      </c>
      <c r="M12" s="78" t="n">
        <v>5069.15</v>
      </c>
      <c r="N12" s="80" t="n">
        <v>5069.14</v>
      </c>
      <c r="O12" s="82" t="n">
        <v>21.0</v>
      </c>
      <c r="P12" s="84" t="n">
        <v>16.1</v>
      </c>
      <c r="Q12" s="86" t="n">
        <v>14.7</v>
      </c>
      <c r="R12" s="88" t="n">
        <v>12.5</v>
      </c>
      <c r="S12" s="90" t="n">
        <v>6049.9</v>
      </c>
      <c r="T12" s="92" t="n">
        <v>21.0</v>
      </c>
      <c r="U12" s="94" t="n">
        <v>6099.9</v>
      </c>
      <c r="V12" s="96"/>
      <c r="W12" s="98">
        <f>IF(V12="","-",IF(V12&lt;=N12,R12,IF(V12&lt;K12,Q12,IF(V12&lt;I12,P12,O12))))</f>
        <v>0.0</v>
      </c>
      <c r="X12" s="100" t="inlineStr">
        <is>
          <t>Hayır</t>
        </is>
      </c>
      <c r="Y12" s="102"/>
      <c r="Z12" s="104" t="inlineStr">
        <is>
          <t>234868b12d51572262c80f465185356c</t>
        </is>
      </c>
    </row>
    <row r="13">
      <c r="A13" s="54" t="inlineStr">
        <is>
          <t>Pavia Berjer Ceviz Ahşap, Sütlü Kahve</t>
        </is>
      </c>
      <c r="B13" s="56" t="inlineStr">
        <is>
          <t>45190777918</t>
        </is>
      </c>
      <c r="C13" s="58" t="inlineStr">
        <is>
          <t>1BRJZEM00164</t>
        </is>
      </c>
      <c r="D13" s="60" t="inlineStr">
        <is>
          <t>Tek Ebat</t>
        </is>
      </c>
      <c r="E13" s="62" t="inlineStr">
        <is>
          <t>ZEMPCV</t>
        </is>
      </c>
      <c r="F13" s="64" t="inlineStr">
        <is>
          <t>Berjer</t>
        </is>
      </c>
      <c r="G13" s="66" t="inlineStr">
        <is>
          <t>Zem</t>
        </is>
      </c>
      <c r="H13" s="68" t="n">
        <v>387.0</v>
      </c>
      <c r="I13" s="70" t="n">
        <v>5586.33</v>
      </c>
      <c r="J13" s="72" t="n">
        <v>5586.32</v>
      </c>
      <c r="K13" s="74" t="n">
        <v>5266.35</v>
      </c>
      <c r="L13" s="76" t="n">
        <v>5266.34</v>
      </c>
      <c r="M13" s="78" t="n">
        <v>4856.1</v>
      </c>
      <c r="N13" s="80" t="n">
        <v>4856.09</v>
      </c>
      <c r="O13" s="82" t="n">
        <v>21.0</v>
      </c>
      <c r="P13" s="84" t="n">
        <v>15.9</v>
      </c>
      <c r="Q13" s="86" t="n">
        <v>14.1</v>
      </c>
      <c r="R13" s="88" t="n">
        <v>11.5</v>
      </c>
      <c r="S13" s="90" t="n">
        <v>6049.9</v>
      </c>
      <c r="T13" s="92" t="n">
        <v>21.0</v>
      </c>
      <c r="U13" s="94" t="n">
        <v>6099.9</v>
      </c>
      <c r="V13" s="96"/>
      <c r="W13" s="98">
        <f>IF(V13="","-",IF(V13&lt;=N13,R13,IF(V13&lt;K13,Q13,IF(V13&lt;I13,P13,O13))))</f>
        <v>0.0</v>
      </c>
      <c r="X13" s="100" t="inlineStr">
        <is>
          <t>Hayır</t>
        </is>
      </c>
      <c r="Y13" s="102"/>
      <c r="Z13" s="104" t="inlineStr">
        <is>
          <t>234868b12d51572262c80f465185356c</t>
        </is>
      </c>
    </row>
    <row r="14">
      <c r="A14" s="54" t="inlineStr">
        <is>
          <t>Scala Sandıklı Bohem Ahşap Ayaklı Puf/Bench, Sütlü Kahve</t>
        </is>
      </c>
      <c r="B14" s="56" t="inlineStr">
        <is>
          <t>20061907450</t>
        </is>
      </c>
      <c r="C14" s="58" t="inlineStr">
        <is>
          <t>1BNCZEM00090</t>
        </is>
      </c>
      <c r="D14" s="60" t="inlineStr">
        <is>
          <t>Tek Ebat</t>
        </is>
      </c>
      <c r="E14" s="62" t="inlineStr">
        <is>
          <t>ZEMSCL</t>
        </is>
      </c>
      <c r="F14" s="64" t="inlineStr">
        <is>
          <t>Puf &amp; Bench</t>
        </is>
      </c>
      <c r="G14" s="66" t="inlineStr">
        <is>
          <t>Zem</t>
        </is>
      </c>
      <c r="H14" s="68" t="n">
        <v>971.0</v>
      </c>
      <c r="I14" s="70" t="n">
        <v>2339.5</v>
      </c>
      <c r="J14" s="72" t="n">
        <v>2339.49</v>
      </c>
      <c r="K14" s="74" t="n">
        <v>2166.38</v>
      </c>
      <c r="L14" s="76" t="n">
        <v>2166.37</v>
      </c>
      <c r="M14" s="78" t="n">
        <v>1947.08</v>
      </c>
      <c r="N14" s="80" t="n">
        <v>1947.07</v>
      </c>
      <c r="O14" s="82" t="n">
        <v>21.0</v>
      </c>
      <c r="P14" s="84" t="n">
        <v>15.5</v>
      </c>
      <c r="Q14" s="86" t="n">
        <v>13.2</v>
      </c>
      <c r="R14" s="88" t="n">
        <v>9.6</v>
      </c>
      <c r="S14" s="90" t="n">
        <v>2654.9</v>
      </c>
      <c r="T14" s="92" t="n">
        <v>21.0</v>
      </c>
      <c r="U14" s="94" t="n">
        <v>2679.9</v>
      </c>
      <c r="V14" s="96"/>
      <c r="W14" s="98">
        <f>IF(V14="","-",IF(V14&lt;=N14,R14,IF(V14&lt;K14,Q14,IF(V14&lt;I14,P14,O14))))</f>
        <v>0.0</v>
      </c>
      <c r="X14" s="100" t="inlineStr">
        <is>
          <t>Hayır</t>
        </is>
      </c>
      <c r="Y14" s="102"/>
      <c r="Z14" s="104" t="inlineStr">
        <is>
          <t>234868b12d51572262c80f465185356c</t>
        </is>
      </c>
    </row>
    <row r="15">
      <c r="A15" s="54" t="inlineStr">
        <is>
          <t>Lines Puf ,teddy Kumaş Sütlü Kahve</t>
        </is>
      </c>
      <c r="B15" s="56" t="inlineStr">
        <is>
          <t>1907584520</t>
        </is>
      </c>
      <c r="C15" s="58" t="inlineStr">
        <is>
          <t>1PUFZEM00610</t>
        </is>
      </c>
      <c r="D15" s="60" t="inlineStr">
        <is>
          <t>Tek Ebat</t>
        </is>
      </c>
      <c r="E15" s="62" t="inlineStr">
        <is>
          <t>ZEMLİNES</t>
        </is>
      </c>
      <c r="F15" s="64" t="inlineStr">
        <is>
          <t>Puf &amp; Bench</t>
        </is>
      </c>
      <c r="G15" s="66" t="inlineStr">
        <is>
          <t>Zem</t>
        </is>
      </c>
      <c r="H15" s="68" t="n">
        <v>904.0</v>
      </c>
      <c r="I15" s="70" t="n">
        <v>993.57</v>
      </c>
      <c r="J15" s="72" t="n">
        <v>993.56</v>
      </c>
      <c r="K15" s="74" t="n">
        <v>919.78</v>
      </c>
      <c r="L15" s="76" t="n">
        <v>919.77</v>
      </c>
      <c r="M15" s="78" t="n">
        <v>827.73</v>
      </c>
      <c r="N15" s="80" t="n">
        <v>827.72</v>
      </c>
      <c r="O15" s="82" t="n">
        <v>21.0</v>
      </c>
      <c r="P15" s="84" t="n">
        <v>15.5</v>
      </c>
      <c r="Q15" s="86" t="n">
        <v>13.2</v>
      </c>
      <c r="R15" s="88" t="n">
        <v>9.6</v>
      </c>
      <c r="S15" s="90" t="n">
        <v>1099.9</v>
      </c>
      <c r="T15" s="92" t="n">
        <v>21.0</v>
      </c>
      <c r="U15" s="94" t="n">
        <v>1099.9</v>
      </c>
      <c r="V15" s="96"/>
      <c r="W15" s="98">
        <f>IF(V15="","-",IF(V15&lt;=N15,R15,IF(V15&lt;K15,Q15,IF(V15&lt;I15,P15,O15))))</f>
        <v>0.0</v>
      </c>
      <c r="X15" s="100" t="inlineStr">
        <is>
          <t>Hayır</t>
        </is>
      </c>
      <c r="Y15" s="102"/>
      <c r="Z15" s="104" t="inlineStr">
        <is>
          <t>234868b12d51572262c80f465185356c</t>
        </is>
      </c>
    </row>
    <row r="16">
      <c r="A16" s="54" t="inlineStr">
        <is>
          <t>Tosca Bohem Berjer Natürel Ahşap, Gri</t>
        </is>
      </c>
      <c r="B16" s="56" t="inlineStr">
        <is>
          <t>1907451907</t>
        </is>
      </c>
      <c r="C16" s="58" t="inlineStr">
        <is>
          <t>1BRJZEM00132</t>
        </is>
      </c>
      <c r="D16" s="60" t="inlineStr">
        <is>
          <t>Tek Ebat</t>
        </is>
      </c>
      <c r="E16" s="62" t="inlineStr">
        <is>
          <t>ZEMTSC</t>
        </is>
      </c>
      <c r="F16" s="64" t="inlineStr">
        <is>
          <t>Berjer</t>
        </is>
      </c>
      <c r="G16" s="66" t="inlineStr">
        <is>
          <t>Zem</t>
        </is>
      </c>
      <c r="H16" s="68" t="n">
        <v>457.0</v>
      </c>
      <c r="I16" s="70" t="n">
        <v>5142.98</v>
      </c>
      <c r="J16" s="72" t="n">
        <v>5142.97</v>
      </c>
      <c r="K16" s="74" t="n">
        <v>4866.38</v>
      </c>
      <c r="L16" s="76" t="n">
        <v>4866.37</v>
      </c>
      <c r="M16" s="78" t="n">
        <v>4512.16</v>
      </c>
      <c r="N16" s="80" t="n">
        <v>4512.15</v>
      </c>
      <c r="O16" s="82" t="n">
        <v>21.0</v>
      </c>
      <c r="P16" s="84" t="n">
        <v>16.0</v>
      </c>
      <c r="Q16" s="86" t="n">
        <v>14.4</v>
      </c>
      <c r="R16" s="88" t="n">
        <v>12.0</v>
      </c>
      <c r="S16" s="90" t="n">
        <v>5499.9</v>
      </c>
      <c r="T16" s="92" t="n">
        <v>21.0</v>
      </c>
      <c r="U16" s="94" t="n">
        <v>5549.9</v>
      </c>
      <c r="V16" s="96"/>
      <c r="W16" s="98">
        <f>IF(V16="","-",IF(V16&lt;=N16,R16,IF(V16&lt;K16,Q16,IF(V16&lt;I16,P16,O16))))</f>
        <v>0.0</v>
      </c>
      <c r="X16" s="100" t="inlineStr">
        <is>
          <t>Hayır</t>
        </is>
      </c>
      <c r="Y16" s="102"/>
      <c r="Z16" s="104" t="inlineStr">
        <is>
          <t>234868b12d51572262c80f465185356c</t>
        </is>
      </c>
    </row>
    <row r="17">
      <c r="A17" s="54" t="inlineStr">
        <is>
          <t>Pavia Berjer Natürel Ahşap, Sütlü Kahve</t>
        </is>
      </c>
      <c r="B17" s="56" t="inlineStr">
        <is>
          <t>190756891907</t>
        </is>
      </c>
      <c r="C17" s="58" t="inlineStr">
        <is>
          <t>1BRJZEM00102</t>
        </is>
      </c>
      <c r="D17" s="60" t="inlineStr">
        <is>
          <t>Tek Ebat</t>
        </is>
      </c>
      <c r="E17" s="62" t="inlineStr">
        <is>
          <t>ZEMPV</t>
        </is>
      </c>
      <c r="F17" s="64" t="inlineStr">
        <is>
          <t>Berjer</t>
        </is>
      </c>
      <c r="G17" s="66" t="inlineStr">
        <is>
          <t>Zem</t>
        </is>
      </c>
      <c r="H17" s="68" t="n">
        <v>232.0</v>
      </c>
      <c r="I17" s="70" t="n">
        <v>5558.81</v>
      </c>
      <c r="J17" s="72" t="n">
        <v>5558.8</v>
      </c>
      <c r="K17" s="74" t="n">
        <v>5225.72</v>
      </c>
      <c r="L17" s="76" t="n">
        <v>5225.71</v>
      </c>
      <c r="M17" s="78" t="n">
        <v>4800.37</v>
      </c>
      <c r="N17" s="80" t="n">
        <v>4800.36</v>
      </c>
      <c r="O17" s="82" t="n">
        <v>21.0</v>
      </c>
      <c r="P17" s="84" t="n">
        <v>15.9</v>
      </c>
      <c r="Q17" s="86" t="n">
        <v>14.0</v>
      </c>
      <c r="R17" s="88" t="n">
        <v>11.2</v>
      </c>
      <c r="S17" s="90" t="n">
        <v>6049.9</v>
      </c>
      <c r="T17" s="92" t="n">
        <v>21.0</v>
      </c>
      <c r="U17" s="94" t="n">
        <v>6099.9</v>
      </c>
      <c r="V17" s="96"/>
      <c r="W17" s="98">
        <f>IF(V17="","-",IF(V17&lt;=N17,R17,IF(V17&lt;K17,Q17,IF(V17&lt;I17,P17,O17))))</f>
        <v>0.0</v>
      </c>
      <c r="X17" s="100" t="inlineStr">
        <is>
          <t>Hayır</t>
        </is>
      </c>
      <c r="Y17" s="102"/>
      <c r="Z17" s="104" t="inlineStr">
        <is>
          <t>234868b12d51572262c80f465185356c</t>
        </is>
      </c>
    </row>
    <row r="18">
      <c r="A18" s="54" t="inlineStr">
        <is>
          <t>Lines Puf, Teddy Kumaş Siyah</t>
        </is>
      </c>
      <c r="B18" s="56" t="inlineStr">
        <is>
          <t>659858849964544</t>
        </is>
      </c>
      <c r="C18" s="58" t="inlineStr">
        <is>
          <t>1PUFZEM00376</t>
        </is>
      </c>
      <c r="D18" s="60" t="inlineStr">
        <is>
          <t>Tek Ebat</t>
        </is>
      </c>
      <c r="E18" s="62" t="inlineStr">
        <is>
          <t>ZEMLİNES</t>
        </is>
      </c>
      <c r="F18" s="64" t="inlineStr">
        <is>
          <t>Puf &amp; Bench</t>
        </is>
      </c>
      <c r="G18" s="66" t="inlineStr">
        <is>
          <t>Zem</t>
        </is>
      </c>
      <c r="H18" s="68" t="n">
        <v>952.0</v>
      </c>
      <c r="I18" s="70" t="n">
        <v>977.36</v>
      </c>
      <c r="J18" s="72" t="n">
        <v>977.35</v>
      </c>
      <c r="K18" s="74" t="n">
        <v>890.9</v>
      </c>
      <c r="L18" s="76" t="n">
        <v>890.89</v>
      </c>
      <c r="M18" s="78" t="n">
        <v>784.59</v>
      </c>
      <c r="N18" s="80" t="n">
        <v>784.58</v>
      </c>
      <c r="O18" s="82" t="n">
        <v>21.0</v>
      </c>
      <c r="P18" s="84" t="n">
        <v>15.2</v>
      </c>
      <c r="Q18" s="86" t="n">
        <v>12.3</v>
      </c>
      <c r="R18" s="88" t="n">
        <v>7.8</v>
      </c>
      <c r="S18" s="90" t="n">
        <v>1099.9</v>
      </c>
      <c r="T18" s="92" t="n">
        <v>21.0</v>
      </c>
      <c r="U18" s="94" t="n">
        <v>1099.9</v>
      </c>
      <c r="V18" s="96"/>
      <c r="W18" s="98">
        <f>IF(V18="","-",IF(V18&lt;=N18,R18,IF(V18&lt;K18,Q18,IF(V18&lt;I18,P18,O18))))</f>
        <v>0.0</v>
      </c>
      <c r="X18" s="100" t="inlineStr">
        <is>
          <t>Hayır</t>
        </is>
      </c>
      <c r="Y18" s="102"/>
      <c r="Z18" s="104" t="inlineStr">
        <is>
          <t>234868b12d51572262c80f465185356c</t>
        </is>
      </c>
    </row>
    <row r="19">
      <c r="A19" s="54" t="inlineStr">
        <is>
          <t>Lines Puf, Teddy Kumaş Gri</t>
        </is>
      </c>
      <c r="B19" s="56" t="inlineStr">
        <is>
          <t>54854846322121</t>
        </is>
      </c>
      <c r="C19" s="58" t="inlineStr">
        <is>
          <t>1PUFZEM00388</t>
        </is>
      </c>
      <c r="D19" s="60" t="inlineStr">
        <is>
          <t>Tek Ebat</t>
        </is>
      </c>
      <c r="E19" s="62" t="inlineStr">
        <is>
          <t>ZEMLİNES</t>
        </is>
      </c>
      <c r="F19" s="64" t="inlineStr">
        <is>
          <t>Puf &amp; Bench</t>
        </is>
      </c>
      <c r="G19" s="66" t="inlineStr">
        <is>
          <t>Zem</t>
        </is>
      </c>
      <c r="H19" s="68" t="n">
        <v>4041.0</v>
      </c>
      <c r="I19" s="70" t="n">
        <v>973.39</v>
      </c>
      <c r="J19" s="72" t="n">
        <v>973.38</v>
      </c>
      <c r="K19" s="74" t="n">
        <v>885.53</v>
      </c>
      <c r="L19" s="76" t="n">
        <v>885.52</v>
      </c>
      <c r="M19" s="78" t="n">
        <v>777.71</v>
      </c>
      <c r="N19" s="80" t="n">
        <v>777.7</v>
      </c>
      <c r="O19" s="82" t="n">
        <v>21.0</v>
      </c>
      <c r="P19" s="84" t="n">
        <v>15.1</v>
      </c>
      <c r="Q19" s="86" t="n">
        <v>12.2</v>
      </c>
      <c r="R19" s="88" t="n">
        <v>7.6</v>
      </c>
      <c r="S19" s="90" t="n">
        <v>1099.9</v>
      </c>
      <c r="T19" s="92" t="n">
        <v>21.0</v>
      </c>
      <c r="U19" s="94" t="n">
        <v>1099.9</v>
      </c>
      <c r="V19" s="96"/>
      <c r="W19" s="98">
        <f>IF(V19="","-",IF(V19&lt;=N19,R19,IF(V19&lt;K19,Q19,IF(V19&lt;I19,P19,O19))))</f>
        <v>0.0</v>
      </c>
      <c r="X19" s="100" t="inlineStr">
        <is>
          <t>Hayır</t>
        </is>
      </c>
      <c r="Y19" s="102"/>
      <c r="Z19" s="104" t="inlineStr">
        <is>
          <t>234868b12d51572262c80f465185356c</t>
        </is>
      </c>
    </row>
    <row r="20">
      <c r="A20" s="54" t="inlineStr">
        <is>
          <t>Long Line Grey - Silver Puf</t>
        </is>
      </c>
      <c r="B20" s="56" t="inlineStr">
        <is>
          <t>85ZEM65214572</t>
        </is>
      </c>
      <c r="C20" s="58" t="inlineStr">
        <is>
          <t>1PUFZEM00081</t>
        </is>
      </c>
      <c r="D20" s="60" t="inlineStr">
        <is>
          <t>Tek Ebat</t>
        </is>
      </c>
      <c r="E20" s="62" t="inlineStr">
        <is>
          <t>ZEMLONGLİNE</t>
        </is>
      </c>
      <c r="F20" s="64" t="inlineStr">
        <is>
          <t>Puf &amp; Bench</t>
        </is>
      </c>
      <c r="G20" s="66" t="inlineStr">
        <is>
          <t>Zem</t>
        </is>
      </c>
      <c r="H20" s="68" t="n">
        <v>961.0</v>
      </c>
      <c r="I20" s="70" t="n">
        <v>1049.54</v>
      </c>
      <c r="J20" s="72" t="n">
        <v>1049.53</v>
      </c>
      <c r="K20" s="74" t="n">
        <v>970.12</v>
      </c>
      <c r="L20" s="76" t="n">
        <v>970.11</v>
      </c>
      <c r="M20" s="78" t="n">
        <v>871.06</v>
      </c>
      <c r="N20" s="80" t="n">
        <v>871.05</v>
      </c>
      <c r="O20" s="82" t="n">
        <v>21.0</v>
      </c>
      <c r="P20" s="84" t="n">
        <v>15.5</v>
      </c>
      <c r="Q20" s="86" t="n">
        <v>13.1</v>
      </c>
      <c r="R20" s="88" t="n">
        <v>9.4</v>
      </c>
      <c r="S20" s="90" t="n">
        <v>1199.9</v>
      </c>
      <c r="T20" s="92" t="n">
        <v>21.0</v>
      </c>
      <c r="U20" s="94" t="n">
        <v>1199.9</v>
      </c>
      <c r="V20" s="96"/>
      <c r="W20" s="98">
        <f>IF(V20="","-",IF(V20&lt;=N20,R20,IF(V20&lt;K20,Q20,IF(V20&lt;I20,P20,O20))))</f>
        <v>0.0</v>
      </c>
      <c r="X20" s="100" t="inlineStr">
        <is>
          <t>Hayır</t>
        </is>
      </c>
      <c r="Y20" s="102"/>
      <c r="Z20" s="104" t="inlineStr">
        <is>
          <t>234868b12d51572262c80f465185356c</t>
        </is>
      </c>
    </row>
    <row r="21">
      <c r="A21" s="54" t="inlineStr">
        <is>
          <t>Ola Bohem Puf, Gri</t>
        </is>
      </c>
      <c r="B21" s="56" t="inlineStr">
        <is>
          <t>19077892005</t>
        </is>
      </c>
      <c r="C21" s="58" t="inlineStr">
        <is>
          <t>1PUFZEM00651</t>
        </is>
      </c>
      <c r="D21" s="60" t="inlineStr">
        <is>
          <t>Tek Ebat</t>
        </is>
      </c>
      <c r="E21" s="62" t="inlineStr">
        <is>
          <t>ZEMOLA</t>
        </is>
      </c>
      <c r="F21" s="64" t="inlineStr">
        <is>
          <t>Puf &amp; Bench</t>
        </is>
      </c>
      <c r="G21" s="66" t="inlineStr">
        <is>
          <t>Zem</t>
        </is>
      </c>
      <c r="H21" s="68" t="n">
        <v>465.0</v>
      </c>
      <c r="I21" s="70" t="n">
        <v>1059.98</v>
      </c>
      <c r="J21" s="72" t="n">
        <v>1059.97</v>
      </c>
      <c r="K21" s="74" t="n">
        <v>959.2</v>
      </c>
      <c r="L21" s="76" t="n">
        <v>959.19</v>
      </c>
      <c r="M21" s="78" t="n">
        <v>854.59</v>
      </c>
      <c r="N21" s="80" t="n">
        <v>854.58</v>
      </c>
      <c r="O21" s="82" t="n">
        <v>21.0</v>
      </c>
      <c r="P21" s="84" t="n">
        <v>15.8</v>
      </c>
      <c r="Q21" s="86" t="n">
        <v>12.8</v>
      </c>
      <c r="R21" s="88" t="n">
        <v>8.8</v>
      </c>
      <c r="S21" s="90" t="n">
        <v>1031.25</v>
      </c>
      <c r="T21" s="92" t="n">
        <v>15.8</v>
      </c>
      <c r="U21" s="94" t="n">
        <v>1031.25</v>
      </c>
      <c r="V21" s="96"/>
      <c r="W21" s="98">
        <f>IF(V21="","-",IF(V21&lt;=N21,R21,IF(V21&lt;K21,Q21,IF(V21&lt;I21,P21,O21))))</f>
        <v>0.0</v>
      </c>
      <c r="X21" s="100" t="inlineStr">
        <is>
          <t>Evet</t>
        </is>
      </c>
      <c r="Y21" s="102" t="inlineStr">
        <is>
          <t>rh_795d0679da5811e1a5968f020495b50c</t>
        </is>
      </c>
      <c r="Z21" s="104" t="inlineStr">
        <is>
          <t>234868b12d51572262c80f465185356c</t>
        </is>
      </c>
    </row>
    <row r="22">
      <c r="A22" s="54" t="inlineStr">
        <is>
          <t>İriva Sandıklı Mekanizmalı Orta Sehpa/Bench, Taba</t>
        </is>
      </c>
      <c r="B22" s="56" t="inlineStr">
        <is>
          <t>19070014509</t>
        </is>
      </c>
      <c r="C22" s="58" t="inlineStr">
        <is>
          <t>1PUFZEM00654</t>
        </is>
      </c>
      <c r="D22" s="60" t="inlineStr">
        <is>
          <t>Tek Ebat</t>
        </is>
      </c>
      <c r="E22" s="62" t="inlineStr">
        <is>
          <t>ZEMIRVA</t>
        </is>
      </c>
      <c r="F22" s="64" t="inlineStr">
        <is>
          <t>Orta Sehpa</t>
        </is>
      </c>
      <c r="G22" s="66" t="inlineStr">
        <is>
          <t>Zem</t>
        </is>
      </c>
      <c r="H22" s="68" t="n">
        <v>499.0</v>
      </c>
      <c r="I22" s="70" t="n">
        <v>5058.82</v>
      </c>
      <c r="J22" s="72" t="n">
        <v>5058.81</v>
      </c>
      <c r="K22" s="74" t="n">
        <v>4577.83</v>
      </c>
      <c r="L22" s="76" t="n">
        <v>4577.82</v>
      </c>
      <c r="M22" s="78" t="n">
        <v>4078.58</v>
      </c>
      <c r="N22" s="80" t="n">
        <v>4078.57</v>
      </c>
      <c r="O22" s="82" t="n">
        <v>21.0</v>
      </c>
      <c r="P22" s="84" t="n">
        <v>15.8</v>
      </c>
      <c r="Q22" s="86" t="n">
        <v>12.8</v>
      </c>
      <c r="R22" s="88" t="n">
        <v>8.8</v>
      </c>
      <c r="S22" s="90" t="n">
        <v>6440.0</v>
      </c>
      <c r="T22" s="92" t="n">
        <v>21.0</v>
      </c>
      <c r="U22" s="94" t="n">
        <v>6490.0</v>
      </c>
      <c r="V22" s="96"/>
      <c r="W22" s="98">
        <f>IF(V22="","-",IF(V22&lt;=N22,R22,IF(V22&lt;K22,Q22,IF(V22&lt;I22,P22,O22))))</f>
        <v>0.0</v>
      </c>
      <c r="X22" s="100" t="inlineStr">
        <is>
          <t>Hayır</t>
        </is>
      </c>
      <c r="Y22" s="102"/>
      <c r="Z22" s="104" t="inlineStr">
        <is>
          <t>234868b12d51572262c80f465185356c</t>
        </is>
      </c>
    </row>
    <row r="23">
      <c r="A23" s="54" t="inlineStr">
        <is>
          <t>Legna Bohem Kanepe, Gri</t>
        </is>
      </c>
      <c r="B23" s="56" t="inlineStr">
        <is>
          <t>1451907730</t>
        </is>
      </c>
      <c r="C23" s="58" t="inlineStr">
        <is>
          <t>1KNPZEM00179</t>
        </is>
      </c>
      <c r="D23" s="60" t="inlineStr">
        <is>
          <t>Tek Ebat</t>
        </is>
      </c>
      <c r="E23" s="62" t="inlineStr">
        <is>
          <t>ZEMLEGNA</t>
        </is>
      </c>
      <c r="F23" s="64" t="inlineStr">
        <is>
          <t>Kanepe</t>
        </is>
      </c>
      <c r="G23" s="66" t="inlineStr">
        <is>
          <t>Zem</t>
        </is>
      </c>
      <c r="H23" s="68" t="n">
        <v>971.0</v>
      </c>
      <c r="I23" s="70" t="n">
        <v>9927.29</v>
      </c>
      <c r="J23" s="72" t="n">
        <v>9927.28</v>
      </c>
      <c r="K23" s="74" t="n">
        <v>9397.04</v>
      </c>
      <c r="L23" s="76" t="n">
        <v>9397.03</v>
      </c>
      <c r="M23" s="78" t="n">
        <v>8715.0</v>
      </c>
      <c r="N23" s="80" t="n">
        <v>8714.99</v>
      </c>
      <c r="O23" s="82" t="n">
        <v>19.0</v>
      </c>
      <c r="P23" s="84" t="n">
        <v>14.3</v>
      </c>
      <c r="Q23" s="86" t="n">
        <v>12.6</v>
      </c>
      <c r="R23" s="88" t="n">
        <v>10.1</v>
      </c>
      <c r="S23" s="90" t="n">
        <v>10749.9</v>
      </c>
      <c r="T23" s="92" t="n">
        <v>19.0</v>
      </c>
      <c r="U23" s="94" t="n">
        <v>10899.9</v>
      </c>
      <c r="V23" s="96"/>
      <c r="W23" s="98">
        <f>IF(V23="","-",IF(V23&lt;=N23,R23,IF(V23&lt;K23,Q23,IF(V23&lt;I23,P23,O23))))</f>
        <v>0.0</v>
      </c>
      <c r="X23" s="100" t="inlineStr">
        <is>
          <t>Hayır</t>
        </is>
      </c>
      <c r="Y23" s="102"/>
      <c r="Z23" s="104" t="inlineStr">
        <is>
          <t>234868b12d51572262c80f465185356c</t>
        </is>
      </c>
    </row>
    <row r="24">
      <c r="A24" s="54" t="inlineStr">
        <is>
          <t>Doris Bohem Berjer, Kırık Beyaz</t>
        </is>
      </c>
      <c r="B24" s="56" t="inlineStr">
        <is>
          <t>1907452828</t>
        </is>
      </c>
      <c r="C24" s="58" t="inlineStr">
        <is>
          <t>1BRJZEM00217</t>
        </is>
      </c>
      <c r="D24" s="60" t="inlineStr">
        <is>
          <t>Tek Ebat</t>
        </is>
      </c>
      <c r="E24" s="62" t="inlineStr">
        <is>
          <t>ZEMDRS</t>
        </is>
      </c>
      <c r="F24" s="64" t="inlineStr">
        <is>
          <t>Berjer</t>
        </is>
      </c>
      <c r="G24" s="66" t="inlineStr">
        <is>
          <t>Zem</t>
        </is>
      </c>
      <c r="H24" s="68" t="n">
        <v>418.0</v>
      </c>
      <c r="I24" s="70" t="n">
        <v>2421.73</v>
      </c>
      <c r="J24" s="72" t="n">
        <v>2421.72</v>
      </c>
      <c r="K24" s="74" t="n">
        <v>2271.51</v>
      </c>
      <c r="L24" s="76" t="n">
        <v>2271.5</v>
      </c>
      <c r="M24" s="78" t="n">
        <v>2079.55</v>
      </c>
      <c r="N24" s="80" t="n">
        <v>2079.54</v>
      </c>
      <c r="O24" s="82" t="n">
        <v>21.0</v>
      </c>
      <c r="P24" s="84" t="n">
        <v>15.8</v>
      </c>
      <c r="Q24" s="86" t="n">
        <v>13.9</v>
      </c>
      <c r="R24" s="88" t="n">
        <v>11.0</v>
      </c>
      <c r="S24" s="90" t="n">
        <v>2774.9</v>
      </c>
      <c r="T24" s="92" t="n">
        <v>21.0</v>
      </c>
      <c r="U24" s="94" t="n">
        <v>2799.9</v>
      </c>
      <c r="V24" s="96"/>
      <c r="W24" s="98">
        <f>IF(V24="","-",IF(V24&lt;=N24,R24,IF(V24&lt;K24,Q24,IF(V24&lt;I24,P24,O24))))</f>
        <v>0.0</v>
      </c>
      <c r="X24" s="100" t="inlineStr">
        <is>
          <t>Hayır</t>
        </is>
      </c>
      <c r="Y24" s="102"/>
      <c r="Z24" s="104" t="inlineStr">
        <is>
          <t>234868b12d51572262c80f465185356c</t>
        </is>
      </c>
    </row>
    <row r="25">
      <c r="A25" s="54" t="inlineStr">
        <is>
          <t>Legna Bohem Kanepe, Açık Krem</t>
        </is>
      </c>
      <c r="B25" s="56" t="inlineStr">
        <is>
          <t>1907454552</t>
        </is>
      </c>
      <c r="C25" s="58" t="inlineStr">
        <is>
          <t>1KNPZEM00178</t>
        </is>
      </c>
      <c r="D25" s="60" t="inlineStr">
        <is>
          <t>Tek Ebat</t>
        </is>
      </c>
      <c r="E25" s="62" t="inlineStr">
        <is>
          <t>ZEMLEGNA</t>
        </is>
      </c>
      <c r="F25" s="64" t="inlineStr">
        <is>
          <t>Kanepe</t>
        </is>
      </c>
      <c r="G25" s="66" t="inlineStr">
        <is>
          <t>Zem</t>
        </is>
      </c>
      <c r="H25" s="68" t="n">
        <v>288.0</v>
      </c>
      <c r="I25" s="70" t="n">
        <v>10282.1</v>
      </c>
      <c r="J25" s="72" t="n">
        <v>10282.09</v>
      </c>
      <c r="K25" s="74" t="n">
        <v>9740.04</v>
      </c>
      <c r="L25" s="76" t="n">
        <v>9740.03</v>
      </c>
      <c r="M25" s="78" t="n">
        <v>9049.15</v>
      </c>
      <c r="N25" s="80" t="n">
        <v>9049.14</v>
      </c>
      <c r="O25" s="82" t="n">
        <v>19.0</v>
      </c>
      <c r="P25" s="84" t="n">
        <v>14.4</v>
      </c>
      <c r="Q25" s="86" t="n">
        <v>12.7</v>
      </c>
      <c r="R25" s="88" t="n">
        <v>10.2</v>
      </c>
      <c r="S25" s="90" t="n">
        <v>10132.09</v>
      </c>
      <c r="T25" s="92" t="n">
        <v>14.4</v>
      </c>
      <c r="U25" s="94" t="n">
        <v>10282.09</v>
      </c>
      <c r="V25" s="96"/>
      <c r="W25" s="98">
        <f>IF(V25="","-",IF(V25&lt;=N25,R25,IF(V25&lt;K25,Q25,IF(V25&lt;I25,P25,O25))))</f>
        <v>0.0</v>
      </c>
      <c r="X25" s="100" t="inlineStr">
        <is>
          <t>Evet</t>
        </is>
      </c>
      <c r="Y25" s="102" t="inlineStr">
        <is>
          <t>rh_6d2d6d75b8a1f3020527e81787abe396</t>
        </is>
      </c>
      <c r="Z25" s="104" t="inlineStr">
        <is>
          <t>234868b12d51572262c80f465185356c</t>
        </is>
      </c>
    </row>
    <row r="26">
      <c r="A26" s="54" t="inlineStr">
        <is>
          <t>Meira Tek Kişilik Katlanır Yataklı Koltuk, Gri</t>
        </is>
      </c>
      <c r="B26" s="56" t="inlineStr">
        <is>
          <t>1907805452347</t>
        </is>
      </c>
      <c r="C26" s="58" t="inlineStr">
        <is>
          <t>1BRJZEM00182</t>
        </is>
      </c>
      <c r="D26" s="60" t="inlineStr">
        <is>
          <t>Tek Ebat</t>
        </is>
      </c>
      <c r="E26" s="62" t="inlineStr">
        <is>
          <t>ZEMMEİRA</t>
        </is>
      </c>
      <c r="F26" s="64" t="inlineStr">
        <is>
          <t>Berjer</t>
        </is>
      </c>
      <c r="G26" s="66" t="inlineStr">
        <is>
          <t>Zem</t>
        </is>
      </c>
      <c r="H26" s="68" t="n">
        <v>409.0</v>
      </c>
      <c r="I26" s="70" t="n">
        <v>3309.05</v>
      </c>
      <c r="J26" s="72" t="n">
        <v>3309.04</v>
      </c>
      <c r="K26" s="74" t="n">
        <v>3116.09</v>
      </c>
      <c r="L26" s="76" t="n">
        <v>3116.08</v>
      </c>
      <c r="M26" s="78" t="n">
        <v>2868.45</v>
      </c>
      <c r="N26" s="80" t="n">
        <v>2868.44</v>
      </c>
      <c r="O26" s="82" t="n">
        <v>21.0</v>
      </c>
      <c r="P26" s="84" t="n">
        <v>15.9</v>
      </c>
      <c r="Q26" s="86" t="n">
        <v>14.1</v>
      </c>
      <c r="R26" s="88" t="n">
        <v>11.4</v>
      </c>
      <c r="S26" s="90" t="n">
        <v>3624.9</v>
      </c>
      <c r="T26" s="92" t="n">
        <v>21.0</v>
      </c>
      <c r="U26" s="94" t="n">
        <v>3649.9</v>
      </c>
      <c r="V26" s="96"/>
      <c r="W26" s="98">
        <f>IF(V26="","-",IF(V26&lt;=N26,R26,IF(V26&lt;K26,Q26,IF(V26&lt;I26,P26,O26))))</f>
        <v>0.0</v>
      </c>
      <c r="X26" s="100" t="inlineStr">
        <is>
          <t>Hayır</t>
        </is>
      </c>
      <c r="Y26" s="102"/>
      <c r="Z26" s="104" t="inlineStr">
        <is>
          <t>234868b12d51572262c80f465185356c</t>
        </is>
      </c>
    </row>
    <row r="27">
      <c r="A27" s="54" t="inlineStr">
        <is>
          <t>Pavia Berjer Ceviz Ahşap, Gri</t>
        </is>
      </c>
      <c r="B27" s="56" t="inlineStr">
        <is>
          <t>0231997500</t>
        </is>
      </c>
      <c r="C27" s="58" t="inlineStr">
        <is>
          <t>1BRJZEM00175</t>
        </is>
      </c>
      <c r="D27" s="60" t="inlineStr">
        <is>
          <t>Tek Ebat</t>
        </is>
      </c>
      <c r="E27" s="62" t="inlineStr">
        <is>
          <t>ZEMPCV</t>
        </is>
      </c>
      <c r="F27" s="64" t="inlineStr">
        <is>
          <t>Berjer</t>
        </is>
      </c>
      <c r="G27" s="66" t="inlineStr">
        <is>
          <t>Zem</t>
        </is>
      </c>
      <c r="H27" s="68" t="n">
        <v>471.0</v>
      </c>
      <c r="I27" s="70" t="n">
        <v>5486.38</v>
      </c>
      <c r="J27" s="72" t="n">
        <v>5486.37</v>
      </c>
      <c r="K27" s="74" t="n">
        <v>5119.52</v>
      </c>
      <c r="L27" s="76" t="n">
        <v>5119.51</v>
      </c>
      <c r="M27" s="78" t="n">
        <v>4654.3</v>
      </c>
      <c r="N27" s="80" t="n">
        <v>4654.29</v>
      </c>
      <c r="O27" s="82" t="n">
        <v>21.0</v>
      </c>
      <c r="P27" s="84" t="n">
        <v>15.7</v>
      </c>
      <c r="Q27" s="86" t="n">
        <v>13.6</v>
      </c>
      <c r="R27" s="88" t="n">
        <v>10.5</v>
      </c>
      <c r="S27" s="90" t="n">
        <v>6049.9</v>
      </c>
      <c r="T27" s="92" t="n">
        <v>21.0</v>
      </c>
      <c r="U27" s="94" t="n">
        <v>6099.9</v>
      </c>
      <c r="V27" s="96"/>
      <c r="W27" s="98">
        <f>IF(V27="","-",IF(V27&lt;=N27,R27,IF(V27&lt;K27,Q27,IF(V27&lt;I27,P27,O27))))</f>
        <v>0.0</v>
      </c>
      <c r="X27" s="100" t="inlineStr">
        <is>
          <t>Hayır</t>
        </is>
      </c>
      <c r="Y27" s="102"/>
      <c r="Z27" s="104" t="inlineStr">
        <is>
          <t>234868b12d51572262c80f465185356c</t>
        </is>
      </c>
    </row>
    <row r="28">
      <c r="A28" s="54" t="inlineStr">
        <is>
          <t>Orso Bohem Sandıklı Puf, Sütlü Kahve</t>
        </is>
      </c>
      <c r="B28" s="56" t="inlineStr">
        <is>
          <t>20050190731</t>
        </is>
      </c>
      <c r="C28" s="58" t="inlineStr">
        <is>
          <t>1PUFZEM00616</t>
        </is>
      </c>
      <c r="D28" s="60" t="inlineStr">
        <is>
          <t>Tek Ebat</t>
        </is>
      </c>
      <c r="E28" s="62" t="inlineStr">
        <is>
          <t>ZEMOR</t>
        </is>
      </c>
      <c r="F28" s="64" t="inlineStr">
        <is>
          <t>Puf &amp; Bench</t>
        </is>
      </c>
      <c r="G28" s="66" t="inlineStr">
        <is>
          <t>Zem</t>
        </is>
      </c>
      <c r="H28" s="68" t="n">
        <v>972.0</v>
      </c>
      <c r="I28" s="70" t="n">
        <v>1869.88</v>
      </c>
      <c r="J28" s="72" t="n">
        <v>1869.87</v>
      </c>
      <c r="K28" s="74" t="n">
        <v>1757.68</v>
      </c>
      <c r="L28" s="76" t="n">
        <v>1757.67</v>
      </c>
      <c r="M28" s="78" t="n">
        <v>1614.35</v>
      </c>
      <c r="N28" s="80" t="n">
        <v>1614.34</v>
      </c>
      <c r="O28" s="82" t="n">
        <v>21.0</v>
      </c>
      <c r="P28" s="84" t="n">
        <v>15.9</v>
      </c>
      <c r="Q28" s="86" t="n">
        <v>14.0</v>
      </c>
      <c r="R28" s="88" t="n">
        <v>11.2</v>
      </c>
      <c r="S28" s="90" t="n">
        <v>1994.9</v>
      </c>
      <c r="T28" s="92" t="n">
        <v>21.0</v>
      </c>
      <c r="U28" s="94" t="n">
        <v>2069.9</v>
      </c>
      <c r="V28" s="96"/>
      <c r="W28" s="98">
        <f>IF(V28="","-",IF(V28&lt;=N28,R28,IF(V28&lt;K28,Q28,IF(V28&lt;I28,P28,O28))))</f>
        <v>0.0</v>
      </c>
      <c r="X28" s="100" t="inlineStr">
        <is>
          <t>Hayır</t>
        </is>
      </c>
      <c r="Y28" s="102"/>
      <c r="Z28" s="104" t="inlineStr">
        <is>
          <t>234868b12d51572262c80f465185356c</t>
        </is>
      </c>
    </row>
    <row r="29">
      <c r="A29" s="54" t="inlineStr">
        <is>
          <t>Jarvis Bohem Sandıklı Orta Sehpa Puf, Sütlü Kahve</t>
        </is>
      </c>
      <c r="B29" s="56" t="inlineStr">
        <is>
          <t>200005190745</t>
        </is>
      </c>
      <c r="C29" s="58" t="inlineStr">
        <is>
          <t>1PUFZEM00613</t>
        </is>
      </c>
      <c r="D29" s="60" t="inlineStr">
        <is>
          <t>Tek Ebat</t>
        </is>
      </c>
      <c r="E29" s="62" t="inlineStr">
        <is>
          <t>ZEMJRV</t>
        </is>
      </c>
      <c r="F29" s="64" t="inlineStr">
        <is>
          <t>Puf &amp; Bench</t>
        </is>
      </c>
      <c r="G29" s="66" t="inlineStr">
        <is>
          <t>Zem</t>
        </is>
      </c>
      <c r="H29" s="68" t="n">
        <v>990.0</v>
      </c>
      <c r="I29" s="70" t="n">
        <v>1641.78</v>
      </c>
      <c r="J29" s="72" t="n">
        <v>1641.77</v>
      </c>
      <c r="K29" s="74" t="n">
        <v>1542.69</v>
      </c>
      <c r="L29" s="76" t="n">
        <v>1542.68</v>
      </c>
      <c r="M29" s="78" t="n">
        <v>1416.21</v>
      </c>
      <c r="N29" s="80" t="n">
        <v>1416.2</v>
      </c>
      <c r="O29" s="82" t="n">
        <v>21.0</v>
      </c>
      <c r="P29" s="84" t="n">
        <v>15.8</v>
      </c>
      <c r="Q29" s="86" t="n">
        <v>14.0</v>
      </c>
      <c r="R29" s="88" t="n">
        <v>11.2</v>
      </c>
      <c r="S29" s="90" t="n">
        <v>1819.9</v>
      </c>
      <c r="T29" s="92" t="n">
        <v>21.0</v>
      </c>
      <c r="U29" s="94" t="n">
        <v>1819.9</v>
      </c>
      <c r="V29" s="96"/>
      <c r="W29" s="98">
        <f>IF(V29="","-",IF(V29&lt;=N29,R29,IF(V29&lt;K29,Q29,IF(V29&lt;I29,P29,O29))))</f>
        <v>0.0</v>
      </c>
      <c r="X29" s="100" t="inlineStr">
        <is>
          <t>Hayır</t>
        </is>
      </c>
      <c r="Y29" s="102"/>
      <c r="Z29" s="104" t="inlineStr">
        <is>
          <t>234868b12d51572262c80f465185356c</t>
        </is>
      </c>
    </row>
    <row r="30">
      <c r="A30" s="54" t="inlineStr">
        <is>
          <t>Orso Bohem Sandıklı Puf, Gri</t>
        </is>
      </c>
      <c r="B30" s="56" t="inlineStr">
        <is>
          <t>4519070931</t>
        </is>
      </c>
      <c r="C30" s="58" t="inlineStr">
        <is>
          <t>1PUFZEM00624</t>
        </is>
      </c>
      <c r="D30" s="60" t="inlineStr">
        <is>
          <t>Tek Ebat</t>
        </is>
      </c>
      <c r="E30" s="62" t="inlineStr">
        <is>
          <t>ZEMOR</t>
        </is>
      </c>
      <c r="F30" s="64" t="inlineStr">
        <is>
          <t>Puf &amp; Bench</t>
        </is>
      </c>
      <c r="G30" s="66" t="inlineStr">
        <is>
          <t>Zem</t>
        </is>
      </c>
      <c r="H30" s="68" t="n">
        <v>982.0</v>
      </c>
      <c r="I30" s="70" t="n">
        <v>1857.45</v>
      </c>
      <c r="J30" s="72" t="n">
        <v>1857.44</v>
      </c>
      <c r="K30" s="74" t="n">
        <v>1743.82</v>
      </c>
      <c r="L30" s="76" t="n">
        <v>1743.81</v>
      </c>
      <c r="M30" s="78" t="n">
        <v>1598.85</v>
      </c>
      <c r="N30" s="80" t="n">
        <v>1598.84</v>
      </c>
      <c r="O30" s="82" t="n">
        <v>21.0</v>
      </c>
      <c r="P30" s="84" t="n">
        <v>15.8</v>
      </c>
      <c r="Q30" s="86" t="n">
        <v>13.9</v>
      </c>
      <c r="R30" s="88" t="n">
        <v>11.1</v>
      </c>
      <c r="S30" s="90" t="n">
        <v>2069.9</v>
      </c>
      <c r="T30" s="92" t="n">
        <v>21.0</v>
      </c>
      <c r="U30" s="94" t="n">
        <v>2069.9</v>
      </c>
      <c r="V30" s="96"/>
      <c r="W30" s="98">
        <f>IF(V30="","-",IF(V30&lt;=N30,R30,IF(V30&lt;K30,Q30,IF(V30&lt;I30,P30,O30))))</f>
        <v>0.0</v>
      </c>
      <c r="X30" s="100" t="inlineStr">
        <is>
          <t>Hayır</t>
        </is>
      </c>
      <c r="Y30" s="102"/>
      <c r="Z30" s="104" t="inlineStr">
        <is>
          <t>234868b12d51572262c80f465185356c</t>
        </is>
      </c>
    </row>
    <row r="31">
      <c r="A31" s="54" t="inlineStr">
        <is>
          <t>Scala Sandıklı Bohem Ahşap Ayaklı Puf/Bench, Gri</t>
        </is>
      </c>
      <c r="B31" s="56" t="inlineStr">
        <is>
          <t>198071907450</t>
        </is>
      </c>
      <c r="C31" s="58" t="inlineStr">
        <is>
          <t>1BNCZEM00094</t>
        </is>
      </c>
      <c r="D31" s="60" t="inlineStr">
        <is>
          <t>Tek Ebat</t>
        </is>
      </c>
      <c r="E31" s="62" t="inlineStr">
        <is>
          <t>ZEMSCL</t>
        </is>
      </c>
      <c r="F31" s="64" t="inlineStr">
        <is>
          <t>Puf &amp; Bench</t>
        </is>
      </c>
      <c r="G31" s="66" t="inlineStr">
        <is>
          <t>Zem</t>
        </is>
      </c>
      <c r="H31" s="68" t="n">
        <v>981.0</v>
      </c>
      <c r="I31" s="70" t="n">
        <v>2396.89</v>
      </c>
      <c r="J31" s="72" t="n">
        <v>2396.88</v>
      </c>
      <c r="K31" s="74" t="n">
        <v>2238.07</v>
      </c>
      <c r="L31" s="76" t="n">
        <v>2238.06</v>
      </c>
      <c r="M31" s="78" t="n">
        <v>2037.27</v>
      </c>
      <c r="N31" s="80" t="n">
        <v>2037.26</v>
      </c>
      <c r="O31" s="82" t="n">
        <v>21.0</v>
      </c>
      <c r="P31" s="84" t="n">
        <v>15.7</v>
      </c>
      <c r="Q31" s="86" t="n">
        <v>13.6</v>
      </c>
      <c r="R31" s="88" t="n">
        <v>10.5</v>
      </c>
      <c r="S31" s="90" t="n">
        <v>2654.9</v>
      </c>
      <c r="T31" s="92" t="n">
        <v>21.0</v>
      </c>
      <c r="U31" s="94" t="n">
        <v>2679.9</v>
      </c>
      <c r="V31" s="96"/>
      <c r="W31" s="98">
        <f>IF(V31="","-",IF(V31&lt;=N31,R31,IF(V31&lt;K31,Q31,IF(V31&lt;I31,P31,O31))))</f>
        <v>0.0</v>
      </c>
      <c r="X31" s="100" t="inlineStr">
        <is>
          <t>Hayır</t>
        </is>
      </c>
      <c r="Y31" s="102"/>
      <c r="Z31" s="104" t="inlineStr">
        <is>
          <t>234868b12d51572262c80f465185356c</t>
        </is>
      </c>
    </row>
    <row r="32">
      <c r="A32" s="54" t="inlineStr">
        <is>
          <t>Jarvis Bohem Sandıklı Orta Sehpa Puf, Kırık Beyaz</t>
        </is>
      </c>
      <c r="B32" s="56" t="inlineStr">
        <is>
          <t>587991790780</t>
        </is>
      </c>
      <c r="C32" s="58" t="inlineStr">
        <is>
          <t>1PUFZEM00607</t>
        </is>
      </c>
      <c r="D32" s="60" t="inlineStr">
        <is>
          <t>Tek Ebat</t>
        </is>
      </c>
      <c r="E32" s="62" t="inlineStr">
        <is>
          <t>ZEMJRV</t>
        </is>
      </c>
      <c r="F32" s="64" t="inlineStr">
        <is>
          <t>Puf &amp; Bench</t>
        </is>
      </c>
      <c r="G32" s="66" t="inlineStr">
        <is>
          <t>Zem</t>
        </is>
      </c>
      <c r="H32" s="68" t="n">
        <v>972.0</v>
      </c>
      <c r="I32" s="70" t="n">
        <v>1605.75</v>
      </c>
      <c r="J32" s="72" t="n">
        <v>1605.74</v>
      </c>
      <c r="K32" s="74" t="n">
        <v>1496.51</v>
      </c>
      <c r="L32" s="76" t="n">
        <v>1496.5</v>
      </c>
      <c r="M32" s="78" t="n">
        <v>1358.04</v>
      </c>
      <c r="N32" s="80" t="n">
        <v>1358.03</v>
      </c>
      <c r="O32" s="82" t="n">
        <v>21.0</v>
      </c>
      <c r="P32" s="84" t="n">
        <v>15.7</v>
      </c>
      <c r="Q32" s="86" t="n">
        <v>13.5</v>
      </c>
      <c r="R32" s="88" t="n">
        <v>10.3</v>
      </c>
      <c r="S32" s="90" t="n">
        <v>1819.9</v>
      </c>
      <c r="T32" s="92" t="n">
        <v>21.0</v>
      </c>
      <c r="U32" s="94" t="n">
        <v>1819.9</v>
      </c>
      <c r="V32" s="96"/>
      <c r="W32" s="98">
        <f>IF(V32="","-",IF(V32&lt;=N32,R32,IF(V32&lt;K32,Q32,IF(V32&lt;I32,P32,O32))))</f>
        <v>0.0</v>
      </c>
      <c r="X32" s="100" t="inlineStr">
        <is>
          <t>Hayır</t>
        </is>
      </c>
      <c r="Y32" s="102"/>
      <c r="Z32" s="104" t="inlineStr">
        <is>
          <t>234868b12d51572262c80f465185356c</t>
        </is>
      </c>
    </row>
    <row r="33">
      <c r="A33" s="54" t="inlineStr">
        <is>
          <t>Pavia Berjer Natürel Ahşap, Kırık Beyaz</t>
        </is>
      </c>
      <c r="B33" s="56" t="inlineStr">
        <is>
          <t>19074509455</t>
        </is>
      </c>
      <c r="C33" s="58" t="inlineStr">
        <is>
          <t>1BRJZEM00095</t>
        </is>
      </c>
      <c r="D33" s="60" t="inlineStr">
        <is>
          <t>Tek Ebat</t>
        </is>
      </c>
      <c r="E33" s="62" t="inlineStr">
        <is>
          <t>ZEMPV</t>
        </is>
      </c>
      <c r="F33" s="64" t="inlineStr">
        <is>
          <t>Berjer</t>
        </is>
      </c>
      <c r="G33" s="66" t="inlineStr">
        <is>
          <t>Zem</t>
        </is>
      </c>
      <c r="H33" s="68" t="n">
        <v>865.0</v>
      </c>
      <c r="I33" s="70" t="n">
        <v>5549.51</v>
      </c>
      <c r="J33" s="72" t="n">
        <v>5549.5</v>
      </c>
      <c r="K33" s="74" t="n">
        <v>5223.08</v>
      </c>
      <c r="L33" s="76" t="n">
        <v>5223.07</v>
      </c>
      <c r="M33" s="78" t="n">
        <v>4805.55</v>
      </c>
      <c r="N33" s="80" t="n">
        <v>4805.54</v>
      </c>
      <c r="O33" s="82" t="n">
        <v>21.0</v>
      </c>
      <c r="P33" s="84" t="n">
        <v>15.9</v>
      </c>
      <c r="Q33" s="86" t="n">
        <v>14.1</v>
      </c>
      <c r="R33" s="88" t="n">
        <v>11.4</v>
      </c>
      <c r="S33" s="90" t="n">
        <v>6049.9</v>
      </c>
      <c r="T33" s="92" t="n">
        <v>21.0</v>
      </c>
      <c r="U33" s="94" t="n">
        <v>6099.9</v>
      </c>
      <c r="V33" s="96"/>
      <c r="W33" s="98">
        <f>IF(V33="","-",IF(V33&lt;=N33,R33,IF(V33&lt;K33,Q33,IF(V33&lt;I33,P33,O33))))</f>
        <v>0.0</v>
      </c>
      <c r="X33" s="100" t="inlineStr">
        <is>
          <t>Hayır</t>
        </is>
      </c>
      <c r="Y33" s="102"/>
      <c r="Z33" s="104" t="inlineStr">
        <is>
          <t>234868b12d51572262c80f465185356c</t>
        </is>
      </c>
    </row>
    <row r="34">
      <c r="A34" s="54" t="inlineStr">
        <is>
          <t>Rennes Sandıklı Puf, Zebra Çizgili</t>
        </is>
      </c>
      <c r="B34" s="56" t="inlineStr">
        <is>
          <t>3145526921</t>
        </is>
      </c>
      <c r="C34" s="58" t="inlineStr">
        <is>
          <t>1PUFZEM00580</t>
        </is>
      </c>
      <c r="D34" s="60" t="inlineStr">
        <is>
          <t>Tek Ebat</t>
        </is>
      </c>
      <c r="E34" s="62" t="inlineStr">
        <is>
          <t>TYC7FRQ3PN170498242584437</t>
        </is>
      </c>
      <c r="F34" s="64" t="inlineStr">
        <is>
          <t>Puf &amp; Bench</t>
        </is>
      </c>
      <c r="G34" s="66" t="inlineStr">
        <is>
          <t>Zem</t>
        </is>
      </c>
      <c r="H34" s="68" t="n">
        <v>424.0</v>
      </c>
      <c r="I34" s="70" t="n">
        <v>1320.23</v>
      </c>
      <c r="J34" s="72" t="n">
        <v>1320.22</v>
      </c>
      <c r="K34" s="74" t="n">
        <v>1225.43</v>
      </c>
      <c r="L34" s="76" t="n">
        <v>1225.42</v>
      </c>
      <c r="M34" s="78" t="n">
        <v>1106.62</v>
      </c>
      <c r="N34" s="80" t="n">
        <v>1106.61</v>
      </c>
      <c r="O34" s="82" t="n">
        <v>21.0</v>
      </c>
      <c r="P34" s="84" t="n">
        <v>15.6</v>
      </c>
      <c r="Q34" s="86" t="n">
        <v>13.3</v>
      </c>
      <c r="R34" s="88" t="n">
        <v>9.9</v>
      </c>
      <c r="S34" s="90" t="n">
        <v>1459.9</v>
      </c>
      <c r="T34" s="92" t="n">
        <v>21.0</v>
      </c>
      <c r="U34" s="94" t="n">
        <v>1459.9</v>
      </c>
      <c r="V34" s="96"/>
      <c r="W34" s="98">
        <f>IF(V34="","-",IF(V34&lt;=N34,R34,IF(V34&lt;K34,Q34,IF(V34&lt;I34,P34,O34))))</f>
        <v>0.0</v>
      </c>
      <c r="X34" s="100" t="inlineStr">
        <is>
          <t>Hayır</t>
        </is>
      </c>
      <c r="Y34" s="102"/>
      <c r="Z34" s="104" t="inlineStr">
        <is>
          <t>234868b12d51572262c80f465185356c</t>
        </is>
      </c>
    </row>
    <row r="35">
      <c r="A35" s="54" t="inlineStr">
        <is>
          <t>Rock Bohem Sallanır Berjer, Sütlü Kahve</t>
        </is>
      </c>
      <c r="B35" s="56" t="inlineStr">
        <is>
          <t>980803109</t>
        </is>
      </c>
      <c r="C35" s="58" t="inlineStr">
        <is>
          <t>1BRJZEM00075</t>
        </is>
      </c>
      <c r="D35" s="60" t="inlineStr">
        <is>
          <t>Tek Ebat</t>
        </is>
      </c>
      <c r="E35" s="62" t="inlineStr">
        <is>
          <t>ZEMRCK01</t>
        </is>
      </c>
      <c r="F35" s="64" t="inlineStr">
        <is>
          <t>Berjer</t>
        </is>
      </c>
      <c r="G35" s="66" t="inlineStr">
        <is>
          <t>Zem</t>
        </is>
      </c>
      <c r="H35" s="68" t="n">
        <v>871.0</v>
      </c>
      <c r="I35" s="70" t="n">
        <v>6374.27</v>
      </c>
      <c r="J35" s="72" t="n">
        <v>6374.26</v>
      </c>
      <c r="K35" s="74" t="n">
        <v>6023.72</v>
      </c>
      <c r="L35" s="76" t="n">
        <v>6023.71</v>
      </c>
      <c r="M35" s="78" t="n">
        <v>5571.51</v>
      </c>
      <c r="N35" s="80" t="n">
        <v>5571.5</v>
      </c>
      <c r="O35" s="82" t="n">
        <v>21.0</v>
      </c>
      <c r="P35" s="84" t="n">
        <v>16.0</v>
      </c>
      <c r="Q35" s="86" t="n">
        <v>14.3</v>
      </c>
      <c r="R35" s="88" t="n">
        <v>11.8</v>
      </c>
      <c r="S35" s="90" t="n">
        <v>7199.9</v>
      </c>
      <c r="T35" s="92" t="n">
        <v>21.0</v>
      </c>
      <c r="U35" s="94" t="n">
        <v>7249.9</v>
      </c>
      <c r="V35" s="96"/>
      <c r="W35" s="98">
        <f>IF(V35="","-",IF(V35&lt;=N35,R35,IF(V35&lt;K35,Q35,IF(V35&lt;I35,P35,O35))))</f>
        <v>0.0</v>
      </c>
      <c r="X35" s="100" t="inlineStr">
        <is>
          <t>Hayır</t>
        </is>
      </c>
      <c r="Y35" s="102"/>
      <c r="Z35" s="104" t="inlineStr">
        <is>
          <t>234868b12d51572262c80f465185356c</t>
        </is>
      </c>
    </row>
    <row r="36">
      <c r="A36" s="54" t="inlineStr">
        <is>
          <t>Rock Bohem Sallanır Berjer, Kırık Beyaz</t>
        </is>
      </c>
      <c r="B36" s="56" t="inlineStr">
        <is>
          <t>540589651</t>
        </is>
      </c>
      <c r="C36" s="58" t="inlineStr">
        <is>
          <t>1BRJZEM00061</t>
        </is>
      </c>
      <c r="D36" s="60" t="inlineStr">
        <is>
          <t>Tek Ebat</t>
        </is>
      </c>
      <c r="E36" s="62" t="inlineStr">
        <is>
          <t>ZEMRCK01</t>
        </is>
      </c>
      <c r="F36" s="64" t="inlineStr">
        <is>
          <t>Berjer</t>
        </is>
      </c>
      <c r="G36" s="66" t="inlineStr">
        <is>
          <t>Zem</t>
        </is>
      </c>
      <c r="H36" s="68" t="n">
        <v>868.0</v>
      </c>
      <c r="I36" s="70" t="n">
        <v>6751.97</v>
      </c>
      <c r="J36" s="72" t="n">
        <v>6751.96</v>
      </c>
      <c r="K36" s="74" t="n">
        <v>6406.4</v>
      </c>
      <c r="L36" s="76" t="n">
        <v>6406.39</v>
      </c>
      <c r="M36" s="78" t="n">
        <v>5962.91</v>
      </c>
      <c r="N36" s="80" t="n">
        <v>5962.9</v>
      </c>
      <c r="O36" s="82" t="n">
        <v>21.0</v>
      </c>
      <c r="P36" s="84" t="n">
        <v>16.1</v>
      </c>
      <c r="Q36" s="86" t="n">
        <v>14.5</v>
      </c>
      <c r="R36" s="88" t="n">
        <v>12.3</v>
      </c>
      <c r="S36" s="90" t="n">
        <v>7199.9</v>
      </c>
      <c r="T36" s="92" t="n">
        <v>21.0</v>
      </c>
      <c r="U36" s="94" t="n">
        <v>7249.9</v>
      </c>
      <c r="V36" s="96"/>
      <c r="W36" s="98">
        <f>IF(V36="","-",IF(V36&lt;=N36,R36,IF(V36&lt;K36,Q36,IF(V36&lt;I36,P36,O36))))</f>
        <v>0.0</v>
      </c>
      <c r="X36" s="100" t="inlineStr">
        <is>
          <t>Hayır</t>
        </is>
      </c>
      <c r="Y36" s="102"/>
      <c r="Z36" s="104" t="inlineStr">
        <is>
          <t>234868b12d51572262c80f465185356c</t>
        </is>
      </c>
    </row>
    <row r="37">
      <c r="A37" s="54" t="inlineStr">
        <is>
          <t>Favela Bohem Berjer Natürel Ahşap, Hardal</t>
        </is>
      </c>
      <c r="B37" s="56" t="inlineStr">
        <is>
          <t>652062025063</t>
        </is>
      </c>
      <c r="C37" s="58" t="inlineStr">
        <is>
          <t>1BRJZEM00052</t>
        </is>
      </c>
      <c r="D37" s="60" t="inlineStr">
        <is>
          <t>Tek Ebat</t>
        </is>
      </c>
      <c r="E37" s="62" t="inlineStr">
        <is>
          <t>ZEMFAVELA</t>
        </is>
      </c>
      <c r="F37" s="64" t="inlineStr">
        <is>
          <t>Berjer</t>
        </is>
      </c>
      <c r="G37" s="66" t="inlineStr">
        <is>
          <t>Zem</t>
        </is>
      </c>
      <c r="H37" s="68" t="n">
        <v>898.0</v>
      </c>
      <c r="I37" s="70" t="n">
        <v>6230.86</v>
      </c>
      <c r="J37" s="72" t="n">
        <v>6230.85</v>
      </c>
      <c r="K37" s="74" t="n">
        <v>5823.86</v>
      </c>
      <c r="L37" s="76" t="n">
        <v>5823.85</v>
      </c>
      <c r="M37" s="78" t="n">
        <v>5302.49</v>
      </c>
      <c r="N37" s="80" t="n">
        <v>5302.48</v>
      </c>
      <c r="O37" s="82" t="n">
        <v>21.0</v>
      </c>
      <c r="P37" s="84" t="n">
        <v>15.7</v>
      </c>
      <c r="Q37" s="86" t="n">
        <v>13.7</v>
      </c>
      <c r="R37" s="88" t="n">
        <v>10.6</v>
      </c>
      <c r="S37" s="90" t="n">
        <v>6949.9</v>
      </c>
      <c r="T37" s="92" t="n">
        <v>21.0</v>
      </c>
      <c r="U37" s="94" t="n">
        <v>6999.9</v>
      </c>
      <c r="V37" s="96"/>
      <c r="W37" s="98">
        <f>IF(V37="","-",IF(V37&lt;=N37,R37,IF(V37&lt;K37,Q37,IF(V37&lt;I37,P37,O37))))</f>
        <v>0.0</v>
      </c>
      <c r="X37" s="100" t="inlineStr">
        <is>
          <t>Hayır</t>
        </is>
      </c>
      <c r="Y37" s="102"/>
      <c r="Z37" s="104" t="inlineStr">
        <is>
          <t>234868b12d51572262c80f465185356c</t>
        </is>
      </c>
    </row>
    <row r="38">
      <c r="A38" s="54" t="inlineStr">
        <is>
          <t>Favela Ahşap Ayaklı Sütlü Kahve Teddy Kumaş Berjer V03</t>
        </is>
      </c>
      <c r="B38" s="56" t="inlineStr">
        <is>
          <t>699509480230</t>
        </is>
      </c>
      <c r="C38" s="58" t="inlineStr">
        <is>
          <t>1BRJZEM00049</t>
        </is>
      </c>
      <c r="D38" s="60" t="inlineStr">
        <is>
          <t>Tek Ebat</t>
        </is>
      </c>
      <c r="E38" s="62" t="inlineStr">
        <is>
          <t>ZEMFAVELA</t>
        </is>
      </c>
      <c r="F38" s="64" t="inlineStr">
        <is>
          <t>Berjer</t>
        </is>
      </c>
      <c r="G38" s="66" t="inlineStr">
        <is>
          <t>Zem</t>
        </is>
      </c>
      <c r="H38" s="68" t="n">
        <v>939.0</v>
      </c>
      <c r="I38" s="70" t="n">
        <v>6248.06</v>
      </c>
      <c r="J38" s="72" t="n">
        <v>6248.05</v>
      </c>
      <c r="K38" s="74" t="n">
        <v>5849.81</v>
      </c>
      <c r="L38" s="76" t="n">
        <v>5849.8</v>
      </c>
      <c r="M38" s="78" t="n">
        <v>5339.13</v>
      </c>
      <c r="N38" s="80" t="n">
        <v>5339.12</v>
      </c>
      <c r="O38" s="82" t="n">
        <v>21.0</v>
      </c>
      <c r="P38" s="84" t="n">
        <v>15.8</v>
      </c>
      <c r="Q38" s="86" t="n">
        <v>13.8</v>
      </c>
      <c r="R38" s="88" t="n">
        <v>10.8</v>
      </c>
      <c r="S38" s="90" t="n">
        <v>6949.9</v>
      </c>
      <c r="T38" s="92" t="n">
        <v>21.0</v>
      </c>
      <c r="U38" s="94" t="n">
        <v>6999.9</v>
      </c>
      <c r="V38" s="96"/>
      <c r="W38" s="98">
        <f>IF(V38="","-",IF(V38&lt;=N38,R38,IF(V38&lt;K38,Q38,IF(V38&lt;I38,P38,O38))))</f>
        <v>0.0</v>
      </c>
      <c r="X38" s="100" t="inlineStr">
        <is>
          <t>Hayır</t>
        </is>
      </c>
      <c r="Y38" s="102"/>
      <c r="Z38" s="104" t="inlineStr">
        <is>
          <t>234868b12d51572262c80f465185356c</t>
        </is>
      </c>
    </row>
    <row r="39">
      <c r="A39" s="54" t="inlineStr">
        <is>
          <t>Ridge Puf, Teddy Kumaş Kırık Beyaz Gold</t>
        </is>
      </c>
      <c r="B39" s="56" t="inlineStr">
        <is>
          <t>144598597745656</t>
        </is>
      </c>
      <c r="C39" s="58" t="inlineStr">
        <is>
          <t>1PUFZEM00308</t>
        </is>
      </c>
      <c r="D39" s="60" t="inlineStr">
        <is>
          <t>Tek Ebat</t>
        </is>
      </c>
      <c r="E39" s="62" t="inlineStr">
        <is>
          <t>TYC00345881990</t>
        </is>
      </c>
      <c r="F39" s="64" t="inlineStr">
        <is>
          <t>Puf &amp; Bench</t>
        </is>
      </c>
      <c r="G39" s="66" t="inlineStr">
        <is>
          <t>Zem</t>
        </is>
      </c>
      <c r="H39" s="68" t="n">
        <v>8.0</v>
      </c>
      <c r="I39" s="70" t="n">
        <v>1407.42</v>
      </c>
      <c r="J39" s="72" t="n">
        <v>1407.41</v>
      </c>
      <c r="K39" s="74" t="n">
        <v>1312.8</v>
      </c>
      <c r="L39" s="76" t="n">
        <v>1312.79</v>
      </c>
      <c r="M39" s="78" t="n">
        <v>1193.6</v>
      </c>
      <c r="N39" s="80" t="n">
        <v>1193.59</v>
      </c>
      <c r="O39" s="82" t="n">
        <v>21.0</v>
      </c>
      <c r="P39" s="84" t="n">
        <v>15.7</v>
      </c>
      <c r="Q39" s="86" t="n">
        <v>13.6</v>
      </c>
      <c r="R39" s="88" t="n">
        <v>10.4</v>
      </c>
      <c r="S39" s="90" t="n">
        <v>1579.9</v>
      </c>
      <c r="T39" s="92" t="n">
        <v>21.0</v>
      </c>
      <c r="U39" s="94" t="n">
        <v>1579.9</v>
      </c>
      <c r="V39" s="96"/>
      <c r="W39" s="98">
        <f>IF(V39="","-",IF(V39&lt;=N39,R39,IF(V39&lt;K39,Q39,IF(V39&lt;I39,P39,O39))))</f>
        <v>0.0</v>
      </c>
      <c r="X39" s="100" t="inlineStr">
        <is>
          <t>Hayır</t>
        </is>
      </c>
      <c r="Y39" s="102"/>
      <c r="Z39" s="104" t="inlineStr">
        <is>
          <t>234868b12d51572262c80f465185356c</t>
        </is>
      </c>
    </row>
    <row r="40">
      <c r="A40" s="54" t="inlineStr">
        <is>
          <t>Louca Bench, Kırık Beyaz Gold</t>
        </is>
      </c>
      <c r="B40" s="56" t="inlineStr">
        <is>
          <t>9987749996444</t>
        </is>
      </c>
      <c r="C40" s="58" t="inlineStr">
        <is>
          <t>1bnczem00038</t>
        </is>
      </c>
      <c r="D40" s="60" t="inlineStr">
        <is>
          <t>Tek Ebat</t>
        </is>
      </c>
      <c r="E40" s="62" t="inlineStr">
        <is>
          <t>LOUCA01</t>
        </is>
      </c>
      <c r="F40" s="64" t="inlineStr">
        <is>
          <t>Puf &amp; Bench</t>
        </is>
      </c>
      <c r="G40" s="66" t="inlineStr">
        <is>
          <t>Zem</t>
        </is>
      </c>
      <c r="H40" s="68" t="n">
        <v>981.0</v>
      </c>
      <c r="I40" s="70" t="n">
        <v>1552.88</v>
      </c>
      <c r="J40" s="72" t="n">
        <v>1552.87</v>
      </c>
      <c r="K40" s="74" t="n">
        <v>1453.36</v>
      </c>
      <c r="L40" s="76" t="n">
        <v>1453.35</v>
      </c>
      <c r="M40" s="78" t="n">
        <v>1326.83</v>
      </c>
      <c r="N40" s="80" t="n">
        <v>1326.82</v>
      </c>
      <c r="O40" s="82" t="n">
        <v>21.0</v>
      </c>
      <c r="P40" s="84" t="n">
        <v>15.8</v>
      </c>
      <c r="Q40" s="86" t="n">
        <v>13.8</v>
      </c>
      <c r="R40" s="88" t="n">
        <v>10.8</v>
      </c>
      <c r="S40" s="90" t="n">
        <v>1719.9</v>
      </c>
      <c r="T40" s="92" t="n">
        <v>21.0</v>
      </c>
      <c r="U40" s="94" t="n">
        <v>1719.9</v>
      </c>
      <c r="V40" s="96"/>
      <c r="W40" s="98">
        <f>IF(V40="","-",IF(V40&lt;=N40,R40,IF(V40&lt;K40,Q40,IF(V40&lt;I40,P40,O40))))</f>
        <v>0.0</v>
      </c>
      <c r="X40" s="100" t="inlineStr">
        <is>
          <t>Hayır</t>
        </is>
      </c>
      <c r="Y40" s="102"/>
      <c r="Z40" s="104" t="inlineStr">
        <is>
          <t>234868b12d51572262c80f465185356c</t>
        </is>
      </c>
    </row>
    <row r="41">
      <c r="A41" s="54" t="inlineStr">
        <is>
          <t>Şila Bench Beyaz Peluş - Gold Ayaklı 90 Cm</t>
        </is>
      </c>
      <c r="B41" s="56" t="inlineStr">
        <is>
          <t>768895542014</t>
        </is>
      </c>
      <c r="C41" s="58" t="inlineStr">
        <is>
          <t>1BNCZEM00001</t>
        </is>
      </c>
      <c r="D41" s="60" t="inlineStr">
        <is>
          <t>Tek Ebat</t>
        </is>
      </c>
      <c r="E41" s="62" t="inlineStr">
        <is>
          <t>ZEMSİLA01</t>
        </is>
      </c>
      <c r="F41" s="64" t="inlineStr">
        <is>
          <t>Puf &amp; Bench</t>
        </is>
      </c>
      <c r="G41" s="66" t="inlineStr">
        <is>
          <t>Zem</t>
        </is>
      </c>
      <c r="H41" s="68" t="n">
        <v>3668.0</v>
      </c>
      <c r="I41" s="70" t="n">
        <v>1581.72</v>
      </c>
      <c r="J41" s="72" t="n">
        <v>1581.71</v>
      </c>
      <c r="K41" s="74" t="n">
        <v>1474.67</v>
      </c>
      <c r="L41" s="76" t="n">
        <v>1474.66</v>
      </c>
      <c r="M41" s="78" t="n">
        <v>1338.8</v>
      </c>
      <c r="N41" s="80" t="n">
        <v>1338.79</v>
      </c>
      <c r="O41" s="82" t="n">
        <v>21.0</v>
      </c>
      <c r="P41" s="84" t="n">
        <v>15.7</v>
      </c>
      <c r="Q41" s="86" t="n">
        <v>13.5</v>
      </c>
      <c r="R41" s="88" t="n">
        <v>10.4</v>
      </c>
      <c r="S41" s="90" t="n">
        <v>1819.9</v>
      </c>
      <c r="T41" s="92" t="n">
        <v>21.0</v>
      </c>
      <c r="U41" s="94" t="n">
        <v>1819.9</v>
      </c>
      <c r="V41" s="96"/>
      <c r="W41" s="98">
        <f>IF(V41="","-",IF(V41&lt;=N41,R41,IF(V41&lt;K41,Q41,IF(V41&lt;I41,P41,O41))))</f>
        <v>0.0</v>
      </c>
      <c r="X41" s="100" t="inlineStr">
        <is>
          <t>Hayır</t>
        </is>
      </c>
      <c r="Y41" s="102"/>
      <c r="Z41" s="104" t="inlineStr">
        <is>
          <t>234868b12d51572262c80f465185356c</t>
        </is>
      </c>
    </row>
    <row r="42">
      <c r="A42" s="54" t="inlineStr">
        <is>
          <t>İriva Sandıklı Mekanizmalı Orta Sehpa/Bench, Sütlü Kahve</t>
        </is>
      </c>
      <c r="B42" s="56" t="inlineStr">
        <is>
          <t>19074563218</t>
        </is>
      </c>
      <c r="C42" s="58" t="inlineStr">
        <is>
          <t>1PUFZEM00649</t>
        </is>
      </c>
      <c r="D42" s="60" t="inlineStr">
        <is>
          <t>Tek Ebat</t>
        </is>
      </c>
      <c r="E42" s="62" t="inlineStr">
        <is>
          <t>ZEMIRVA</t>
        </is>
      </c>
      <c r="F42" s="64" t="inlineStr">
        <is>
          <t>Orta Sehpa</t>
        </is>
      </c>
      <c r="G42" s="66" t="inlineStr">
        <is>
          <t>Zem</t>
        </is>
      </c>
      <c r="H42" s="68" t="n">
        <v>498.0</v>
      </c>
      <c r="I42" s="70" t="n">
        <v>4603.98</v>
      </c>
      <c r="J42" s="72" t="n">
        <v>4603.97</v>
      </c>
      <c r="K42" s="74" t="n">
        <v>4166.23</v>
      </c>
      <c r="L42" s="76" t="n">
        <v>4166.22</v>
      </c>
      <c r="M42" s="78" t="n">
        <v>3711.87</v>
      </c>
      <c r="N42" s="80" t="n">
        <v>3711.86</v>
      </c>
      <c r="O42" s="82" t="n">
        <v>21.0</v>
      </c>
      <c r="P42" s="84" t="n">
        <v>15.8</v>
      </c>
      <c r="Q42" s="86" t="n">
        <v>12.8</v>
      </c>
      <c r="R42" s="88" t="n">
        <v>8.8</v>
      </c>
      <c r="S42" s="90" t="n">
        <v>5940.0</v>
      </c>
      <c r="T42" s="92" t="n">
        <v>21.0</v>
      </c>
      <c r="U42" s="94" t="n">
        <v>5990.0</v>
      </c>
      <c r="V42" s="96"/>
      <c r="W42" s="98">
        <f>IF(V42="","-",IF(V42&lt;=N42,R42,IF(V42&lt;K42,Q42,IF(V42&lt;I42,P42,O42))))</f>
        <v>0.0</v>
      </c>
      <c r="X42" s="100" t="inlineStr">
        <is>
          <t>Hayır</t>
        </is>
      </c>
      <c r="Y42" s="102"/>
      <c r="Z42" s="104" t="inlineStr">
        <is>
          <t>234868b12d51572262c80f465185356c</t>
        </is>
      </c>
    </row>
    <row r="43">
      <c r="A43" s="54" t="inlineStr">
        <is>
          <t>İriva Sandıklı Mekanizmalı Orta Sehpa/Bench, Kırık Beyaz</t>
        </is>
      </c>
      <c r="B43" s="56" t="inlineStr">
        <is>
          <t>45190775235</t>
        </is>
      </c>
      <c r="C43" s="58" t="inlineStr">
        <is>
          <t>1PUFZEM00653</t>
        </is>
      </c>
      <c r="D43" s="60" t="inlineStr">
        <is>
          <t>Tek Ebat</t>
        </is>
      </c>
      <c r="E43" s="62" t="inlineStr">
        <is>
          <t>ZEMIRVA</t>
        </is>
      </c>
      <c r="F43" s="64" t="inlineStr">
        <is>
          <t>Orta Sehpa</t>
        </is>
      </c>
      <c r="G43" s="66" t="inlineStr">
        <is>
          <t>Zem</t>
        </is>
      </c>
      <c r="H43" s="68" t="n">
        <v>500.0</v>
      </c>
      <c r="I43" s="70" t="n">
        <v>4604.4</v>
      </c>
      <c r="J43" s="72" t="n">
        <v>4604.39</v>
      </c>
      <c r="K43" s="74" t="n">
        <v>4166.6</v>
      </c>
      <c r="L43" s="76" t="n">
        <v>4166.59</v>
      </c>
      <c r="M43" s="78" t="n">
        <v>3712.2</v>
      </c>
      <c r="N43" s="80" t="n">
        <v>3712.19</v>
      </c>
      <c r="O43" s="82" t="n">
        <v>21.0</v>
      </c>
      <c r="P43" s="84" t="n">
        <v>15.8</v>
      </c>
      <c r="Q43" s="86" t="n">
        <v>12.8</v>
      </c>
      <c r="R43" s="88" t="n">
        <v>8.8</v>
      </c>
      <c r="S43" s="90" t="n">
        <v>5940.0</v>
      </c>
      <c r="T43" s="92" t="n">
        <v>21.0</v>
      </c>
      <c r="U43" s="94" t="n">
        <v>5990.0</v>
      </c>
      <c r="V43" s="96"/>
      <c r="W43" s="98">
        <f>IF(V43="","-",IF(V43&lt;=N43,R43,IF(V43&lt;K43,Q43,IF(V43&lt;I43,P43,O43))))</f>
        <v>0.0</v>
      </c>
      <c r="X43" s="100" t="inlineStr">
        <is>
          <t>Hayır</t>
        </is>
      </c>
      <c r="Y43" s="102"/>
      <c r="Z43" s="104" t="inlineStr">
        <is>
          <t>234868b12d51572262c80f465185356c</t>
        </is>
      </c>
    </row>
    <row r="44">
      <c r="A44" s="54" t="inlineStr">
        <is>
          <t>İrina Sandıklı Mekanizmalı Orta Sehpa/Bench, Gri</t>
        </is>
      </c>
      <c r="B44" s="56" t="inlineStr">
        <is>
          <t>4578919072058</t>
        </is>
      </c>
      <c r="C44" s="58" t="inlineStr">
        <is>
          <t>1PUFZEM00650</t>
        </is>
      </c>
      <c r="D44" s="60" t="inlineStr">
        <is>
          <t>Tek Ebat</t>
        </is>
      </c>
      <c r="E44" s="62" t="inlineStr">
        <is>
          <t>ZEMIRN</t>
        </is>
      </c>
      <c r="F44" s="64" t="inlineStr">
        <is>
          <t>Orta Sehpa</t>
        </is>
      </c>
      <c r="G44" s="66" t="inlineStr">
        <is>
          <t>Zem</t>
        </is>
      </c>
      <c r="H44" s="68" t="n">
        <v>499.0</v>
      </c>
      <c r="I44" s="70" t="n">
        <v>4587.98</v>
      </c>
      <c r="J44" s="72" t="n">
        <v>4587.97</v>
      </c>
      <c r="K44" s="74" t="n">
        <v>4394.54</v>
      </c>
      <c r="L44" s="76" t="n">
        <v>4394.53</v>
      </c>
      <c r="M44" s="78" t="n">
        <v>4145.86</v>
      </c>
      <c r="N44" s="80" t="n">
        <v>4145.85</v>
      </c>
      <c r="O44" s="82" t="n">
        <v>21.0</v>
      </c>
      <c r="P44" s="84" t="n">
        <v>16.3</v>
      </c>
      <c r="Q44" s="86" t="n">
        <v>15.0</v>
      </c>
      <c r="R44" s="88" t="n">
        <v>13.2</v>
      </c>
      <c r="S44" s="90" t="n">
        <v>5940.0</v>
      </c>
      <c r="T44" s="92" t="n">
        <v>21.0</v>
      </c>
      <c r="U44" s="94" t="n">
        <v>5990.0</v>
      </c>
      <c r="V44" s="96"/>
      <c r="W44" s="98">
        <f>IF(V44="","-",IF(V44&lt;=N44,R44,IF(V44&lt;K44,Q44,IF(V44&lt;I44,P44,O44))))</f>
        <v>0.0</v>
      </c>
      <c r="X44" s="100" t="inlineStr">
        <is>
          <t>Hayır</t>
        </is>
      </c>
      <c r="Y44" s="102"/>
      <c r="Z44" s="104" t="inlineStr">
        <is>
          <t>234868b12d51572262c80f465185356c</t>
        </is>
      </c>
    </row>
    <row r="45">
      <c r="A45" s="54" t="inlineStr">
        <is>
          <t>İrina Sandıklı Mekanizmalı Orta Sehpa/Bench, Taba</t>
        </is>
      </c>
      <c r="B45" s="56" t="inlineStr">
        <is>
          <t>19077850489</t>
        </is>
      </c>
      <c r="C45" s="58" t="inlineStr">
        <is>
          <t>1PUFZEM00648</t>
        </is>
      </c>
      <c r="D45" s="60" t="inlineStr">
        <is>
          <t>Tek Ebat</t>
        </is>
      </c>
      <c r="E45" s="62" t="inlineStr">
        <is>
          <t>ZEMIRN</t>
        </is>
      </c>
      <c r="F45" s="64" t="inlineStr">
        <is>
          <t>Orta Sehpa</t>
        </is>
      </c>
      <c r="G45" s="66" t="inlineStr">
        <is>
          <t>Zem</t>
        </is>
      </c>
      <c r="H45" s="68" t="n">
        <v>495.0</v>
      </c>
      <c r="I45" s="70" t="n">
        <v>4966.05</v>
      </c>
      <c r="J45" s="72" t="n">
        <v>4966.04</v>
      </c>
      <c r="K45" s="74" t="n">
        <v>4697.95</v>
      </c>
      <c r="L45" s="76" t="n">
        <v>4697.94</v>
      </c>
      <c r="M45" s="78" t="n">
        <v>4357.46</v>
      </c>
      <c r="N45" s="80" t="n">
        <v>4357.45</v>
      </c>
      <c r="O45" s="82" t="n">
        <v>21.0</v>
      </c>
      <c r="P45" s="84" t="n">
        <v>16.0</v>
      </c>
      <c r="Q45" s="86" t="n">
        <v>14.4</v>
      </c>
      <c r="R45" s="88" t="n">
        <v>12.0</v>
      </c>
      <c r="S45" s="90" t="n">
        <v>6440.0</v>
      </c>
      <c r="T45" s="92" t="n">
        <v>21.0</v>
      </c>
      <c r="U45" s="94" t="n">
        <v>6490.0</v>
      </c>
      <c r="V45" s="96"/>
      <c r="W45" s="98">
        <f>IF(V45="","-",IF(V45&lt;=N45,R45,IF(V45&lt;K45,Q45,IF(V45&lt;I45,P45,O45))))</f>
        <v>0.0</v>
      </c>
      <c r="X45" s="100" t="inlineStr">
        <is>
          <t>Hayır</t>
        </is>
      </c>
      <c r="Y45" s="102"/>
      <c r="Z45" s="104" t="inlineStr">
        <is>
          <t>234868b12d51572262c80f465185356c</t>
        </is>
      </c>
    </row>
    <row r="46">
      <c r="A46" s="54" t="inlineStr">
        <is>
          <t>İrina Sandıklı Mekanizmalı Orta Sehpa/Bench, Sütlü Kahve</t>
        </is>
      </c>
      <c r="B46" s="56" t="inlineStr">
        <is>
          <t>457980004546</t>
        </is>
      </c>
      <c r="C46" s="58" t="inlineStr">
        <is>
          <t>1PUFZEM00646</t>
        </is>
      </c>
      <c r="D46" s="60" t="inlineStr">
        <is>
          <t>Tek Ebat</t>
        </is>
      </c>
      <c r="E46" s="62" t="inlineStr">
        <is>
          <t>ZEMIRN</t>
        </is>
      </c>
      <c r="F46" s="64" t="inlineStr">
        <is>
          <t>Orta Sehpa</t>
        </is>
      </c>
      <c r="G46" s="66" t="inlineStr">
        <is>
          <t>Zem</t>
        </is>
      </c>
      <c r="H46" s="68" t="n">
        <v>494.0</v>
      </c>
      <c r="I46" s="70" t="n">
        <v>4570.57</v>
      </c>
      <c r="J46" s="72" t="n">
        <v>4570.56</v>
      </c>
      <c r="K46" s="74" t="n">
        <v>4367.27</v>
      </c>
      <c r="L46" s="76" t="n">
        <v>4367.26</v>
      </c>
      <c r="M46" s="78" t="n">
        <v>4106.56</v>
      </c>
      <c r="N46" s="80" t="n">
        <v>4106.55</v>
      </c>
      <c r="O46" s="82" t="n">
        <v>21.0</v>
      </c>
      <c r="P46" s="84" t="n">
        <v>16.2</v>
      </c>
      <c r="Q46" s="86" t="n">
        <v>14.9</v>
      </c>
      <c r="R46" s="88" t="n">
        <v>13.0</v>
      </c>
      <c r="S46" s="90" t="n">
        <v>5940.0</v>
      </c>
      <c r="T46" s="92" t="n">
        <v>21.0</v>
      </c>
      <c r="U46" s="94" t="n">
        <v>5990.0</v>
      </c>
      <c r="V46" s="96"/>
      <c r="W46" s="98">
        <f>IF(V46="","-",IF(V46&lt;=N46,R46,IF(V46&lt;K46,Q46,IF(V46&lt;I46,P46,O46))))</f>
        <v>0.0</v>
      </c>
      <c r="X46" s="100" t="inlineStr">
        <is>
          <t>Hayır</t>
        </is>
      </c>
      <c r="Y46" s="102"/>
      <c r="Z46" s="104" t="inlineStr">
        <is>
          <t>234868b12d51572262c80f465185356c</t>
        </is>
      </c>
    </row>
    <row r="47">
      <c r="A47" s="54" t="inlineStr">
        <is>
          <t>İrina Sandıklı Mekanizmalı Orta Sehpa/Bench, Kırık Beyaz</t>
        </is>
      </c>
      <c r="B47" s="56" t="inlineStr">
        <is>
          <t>19074500012</t>
        </is>
      </c>
      <c r="C47" s="58" t="inlineStr">
        <is>
          <t>1PUFZEM00647</t>
        </is>
      </c>
      <c r="D47" s="60" t="inlineStr">
        <is>
          <t>Tek Ebat</t>
        </is>
      </c>
      <c r="E47" s="62" t="inlineStr">
        <is>
          <t>ZEMIRN</t>
        </is>
      </c>
      <c r="F47" s="64" t="inlineStr">
        <is>
          <t>Orta Sehpa</t>
        </is>
      </c>
      <c r="G47" s="66" t="inlineStr">
        <is>
          <t>Zem</t>
        </is>
      </c>
      <c r="H47" s="68" t="n">
        <v>495.0</v>
      </c>
      <c r="I47" s="70" t="n">
        <v>4551.77</v>
      </c>
      <c r="J47" s="72" t="n">
        <v>4551.76</v>
      </c>
      <c r="K47" s="74" t="n">
        <v>4333.78</v>
      </c>
      <c r="L47" s="76" t="n">
        <v>4333.77</v>
      </c>
      <c r="M47" s="78" t="n">
        <v>4055.08</v>
      </c>
      <c r="N47" s="80" t="n">
        <v>4055.07</v>
      </c>
      <c r="O47" s="82" t="n">
        <v>21.0</v>
      </c>
      <c r="P47" s="84" t="n">
        <v>16.2</v>
      </c>
      <c r="Q47" s="86" t="n">
        <v>14.7</v>
      </c>
      <c r="R47" s="88" t="n">
        <v>12.6</v>
      </c>
      <c r="S47" s="90" t="n">
        <v>5940.0</v>
      </c>
      <c r="T47" s="92" t="n">
        <v>21.0</v>
      </c>
      <c r="U47" s="94" t="n">
        <v>5990.0</v>
      </c>
      <c r="V47" s="96"/>
      <c r="W47" s="98">
        <f>IF(V47="","-",IF(V47&lt;=N47,R47,IF(V47&lt;K47,Q47,IF(V47&lt;I47,P47,O47))))</f>
        <v>0.0</v>
      </c>
      <c r="X47" s="100" t="inlineStr">
        <is>
          <t>Hayır</t>
        </is>
      </c>
      <c r="Y47" s="102"/>
      <c r="Z47" s="104" t="inlineStr">
        <is>
          <t>234868b12d51572262c80f465185356c</t>
        </is>
      </c>
    </row>
    <row r="48">
      <c r="A48" s="54" t="inlineStr">
        <is>
          <t>Royal Bohem Berjer, Açık Krem</t>
        </is>
      </c>
      <c r="B48" s="56" t="inlineStr">
        <is>
          <t>19075408708</t>
        </is>
      </c>
      <c r="C48" s="58" t="inlineStr">
        <is>
          <t>1BRJZEM00223</t>
        </is>
      </c>
      <c r="D48" s="60" t="inlineStr">
        <is>
          <t>Tek Ebat</t>
        </is>
      </c>
      <c r="E48" s="62" t="inlineStr">
        <is>
          <t>ZEMRYL1</t>
        </is>
      </c>
      <c r="F48" s="64" t="inlineStr">
        <is>
          <t>Berjer</t>
        </is>
      </c>
      <c r="G48" s="66" t="inlineStr">
        <is>
          <t>Zem</t>
        </is>
      </c>
      <c r="H48" s="68" t="n">
        <v>497.0</v>
      </c>
      <c r="I48" s="70" t="n">
        <v>4691.71</v>
      </c>
      <c r="J48" s="72" t="n">
        <v>4691.7</v>
      </c>
      <c r="K48" s="74" t="n">
        <v>4245.62</v>
      </c>
      <c r="L48" s="76" t="n">
        <v>4245.61</v>
      </c>
      <c r="M48" s="78" t="n">
        <v>3782.6</v>
      </c>
      <c r="N48" s="80" t="n">
        <v>3782.59</v>
      </c>
      <c r="O48" s="82" t="n">
        <v>21.0</v>
      </c>
      <c r="P48" s="84" t="n">
        <v>15.8</v>
      </c>
      <c r="Q48" s="86" t="n">
        <v>12.8</v>
      </c>
      <c r="R48" s="88" t="n">
        <v>8.8</v>
      </c>
      <c r="S48" s="90" t="n">
        <v>4666.7</v>
      </c>
      <c r="T48" s="92" t="n">
        <v>15.8</v>
      </c>
      <c r="U48" s="94" t="n">
        <v>4691.7</v>
      </c>
      <c r="V48" s="96"/>
      <c r="W48" s="98">
        <f>IF(V48="","-",IF(V48&lt;=N48,R48,IF(V48&lt;K48,Q48,IF(V48&lt;I48,P48,O48))))</f>
        <v>0.0</v>
      </c>
      <c r="X48" s="100" t="inlineStr">
        <is>
          <t>Evet</t>
        </is>
      </c>
      <c r="Y48" s="102" t="inlineStr">
        <is>
          <t>rh_dfc75e2d377314d9a5fcde8e1e1ec1ed</t>
        </is>
      </c>
      <c r="Z48" s="104" t="inlineStr">
        <is>
          <t>234868b12d51572262c80f465185356c</t>
        </is>
      </c>
    </row>
    <row r="49">
      <c r="A49" s="54" t="inlineStr">
        <is>
          <t>Legna Bohem Koltuk Takımı, 1 Adet Kanepe 1 Adet Berjer (Açık Krem Kanepe,Kırçıllı Mürdüm Berjer)</t>
        </is>
      </c>
      <c r="B49" s="56" t="inlineStr">
        <is>
          <t>190745208478</t>
        </is>
      </c>
      <c r="C49" s="58" t="inlineStr">
        <is>
          <t>1KLTZEM00053</t>
        </is>
      </c>
      <c r="D49" s="60" t="inlineStr">
        <is>
          <t>Tek Ebat</t>
        </is>
      </c>
      <c r="E49" s="62" t="inlineStr">
        <is>
          <t>ZEMLGN1</t>
        </is>
      </c>
      <c r="F49" s="64" t="inlineStr">
        <is>
          <t>Koltuk Takımı</t>
        </is>
      </c>
      <c r="G49" s="66" t="inlineStr">
        <is>
          <t>Zem</t>
        </is>
      </c>
      <c r="H49" s="68" t="n">
        <v>495.0</v>
      </c>
      <c r="I49" s="70" t="n">
        <v>18568.94</v>
      </c>
      <c r="J49" s="72" t="n">
        <v>18568.93</v>
      </c>
      <c r="K49" s="74" t="n">
        <v>17840.36</v>
      </c>
      <c r="L49" s="76" t="n">
        <v>17840.35</v>
      </c>
      <c r="M49" s="78" t="n">
        <v>16897.77</v>
      </c>
      <c r="N49" s="80" t="n">
        <v>16897.76</v>
      </c>
      <c r="O49" s="82" t="n">
        <v>19.0</v>
      </c>
      <c r="P49" s="84" t="n">
        <v>14.7</v>
      </c>
      <c r="Q49" s="86" t="n">
        <v>13.5</v>
      </c>
      <c r="R49" s="88" t="n">
        <v>11.7</v>
      </c>
      <c r="S49" s="90" t="n">
        <v>18878.26</v>
      </c>
      <c r="T49" s="92" t="n">
        <v>19.0</v>
      </c>
      <c r="U49" s="94" t="n">
        <v>19749.9</v>
      </c>
      <c r="V49" s="96"/>
      <c r="W49" s="98">
        <f>IF(V49="","-",IF(V49&lt;=N49,R49,IF(V49&lt;K49,Q49,IF(V49&lt;I49,P49,O49))))</f>
        <v>0.0</v>
      </c>
      <c r="X49" s="100" t="inlineStr">
        <is>
          <t>Hayır</t>
        </is>
      </c>
      <c r="Y49" s="102"/>
      <c r="Z49" s="104" t="inlineStr">
        <is>
          <t>234868b12d51572262c80f465185356c</t>
        </is>
      </c>
    </row>
    <row r="50">
      <c r="A50" s="54" t="inlineStr">
        <is>
          <t>Pavia Berjer Natürel Ahşap, Gri</t>
        </is>
      </c>
      <c r="B50" s="56" t="inlineStr">
        <is>
          <t>54190785405</t>
        </is>
      </c>
      <c r="C50" s="58" t="inlineStr">
        <is>
          <t>1BRJZEM00101</t>
        </is>
      </c>
      <c r="D50" s="60" t="inlineStr">
        <is>
          <t>Tek Ebat</t>
        </is>
      </c>
      <c r="E50" s="62" t="inlineStr">
        <is>
          <t>ZEMPV</t>
        </is>
      </c>
      <c r="F50" s="64" t="inlineStr">
        <is>
          <t>Berjer</t>
        </is>
      </c>
      <c r="G50" s="66" t="inlineStr">
        <is>
          <t>Zem</t>
        </is>
      </c>
      <c r="H50" s="68" t="n">
        <v>461.0</v>
      </c>
      <c r="I50" s="70" t="n">
        <v>5532.14</v>
      </c>
      <c r="J50" s="72" t="n">
        <v>5532.13</v>
      </c>
      <c r="K50" s="74" t="n">
        <v>5244.1</v>
      </c>
      <c r="L50" s="76" t="n">
        <v>5244.09</v>
      </c>
      <c r="M50" s="78" t="n">
        <v>4871.1</v>
      </c>
      <c r="N50" s="80" t="n">
        <v>4871.09</v>
      </c>
      <c r="O50" s="82" t="n">
        <v>21.0</v>
      </c>
      <c r="P50" s="84" t="n">
        <v>16.0</v>
      </c>
      <c r="Q50" s="86" t="n">
        <v>14.4</v>
      </c>
      <c r="R50" s="88" t="n">
        <v>12.1</v>
      </c>
      <c r="S50" s="90" t="n">
        <v>6049.9</v>
      </c>
      <c r="T50" s="92" t="n">
        <v>21.0</v>
      </c>
      <c r="U50" s="94" t="n">
        <v>6099.9</v>
      </c>
      <c r="V50" s="96"/>
      <c r="W50" s="98">
        <f>IF(V50="","-",IF(V50&lt;=N50,R50,IF(V50&lt;K50,Q50,IF(V50&lt;I50,P50,O50))))</f>
        <v>0.0</v>
      </c>
      <c r="X50" s="100" t="inlineStr">
        <is>
          <t>Hayır</t>
        </is>
      </c>
      <c r="Y50" s="102"/>
      <c r="Z50" s="104" t="inlineStr">
        <is>
          <t>234868b12d51572262c80f465185356c</t>
        </is>
      </c>
    </row>
    <row r="51">
      <c r="A51" s="54" t="inlineStr">
        <is>
          <t>Bahama Bohem Ahşap Berjer, Siyah/Beyaz Çizgili</t>
        </is>
      </c>
      <c r="B51" s="56" t="inlineStr">
        <is>
          <t>508087045</t>
        </is>
      </c>
      <c r="C51" s="58" t="inlineStr">
        <is>
          <t>1BRJZEM00161</t>
        </is>
      </c>
      <c r="D51" s="60" t="inlineStr">
        <is>
          <t>Tek Ebat</t>
        </is>
      </c>
      <c r="E51" s="62" t="inlineStr">
        <is>
          <t>ZEMBHM</t>
        </is>
      </c>
      <c r="F51" s="64" t="inlineStr">
        <is>
          <t>Berjer</t>
        </is>
      </c>
      <c r="G51" s="66" t="inlineStr">
        <is>
          <t>Zem</t>
        </is>
      </c>
      <c r="H51" s="68" t="n">
        <v>497.0</v>
      </c>
      <c r="I51" s="70" t="n">
        <v>5656.31</v>
      </c>
      <c r="J51" s="72" t="n">
        <v>5656.3</v>
      </c>
      <c r="K51" s="74" t="n">
        <v>5369.76</v>
      </c>
      <c r="L51" s="76" t="n">
        <v>5369.75</v>
      </c>
      <c r="M51" s="78" t="n">
        <v>4998.32</v>
      </c>
      <c r="N51" s="80" t="n">
        <v>4998.31</v>
      </c>
      <c r="O51" s="82" t="n">
        <v>21.0</v>
      </c>
      <c r="P51" s="84" t="n">
        <v>16.1</v>
      </c>
      <c r="Q51" s="86" t="n">
        <v>14.5</v>
      </c>
      <c r="R51" s="88" t="n">
        <v>12.3</v>
      </c>
      <c r="S51" s="90" t="n">
        <v>6049.9</v>
      </c>
      <c r="T51" s="92" t="n">
        <v>21.0</v>
      </c>
      <c r="U51" s="94" t="n">
        <v>6099.9</v>
      </c>
      <c r="V51" s="96"/>
      <c r="W51" s="98">
        <f>IF(V51="","-",IF(V51&lt;=N51,R51,IF(V51&lt;K51,Q51,IF(V51&lt;I51,P51,O51))))</f>
        <v>0.0</v>
      </c>
      <c r="X51" s="100" t="inlineStr">
        <is>
          <t>Hayır</t>
        </is>
      </c>
      <c r="Y51" s="102"/>
      <c r="Z51" s="104" t="inlineStr">
        <is>
          <t>234868b12d51572262c80f465185356c</t>
        </is>
      </c>
    </row>
    <row r="52">
      <c r="A52" s="54" t="inlineStr">
        <is>
          <t>Petra Çay Seti, Siyah Kazayağı/Taba Deri (1 ADET TEKLİ BERJER 1 ADET PUF)</t>
        </is>
      </c>
      <c r="B52" s="56" t="inlineStr">
        <is>
          <t>781907295544</t>
        </is>
      </c>
      <c r="C52" s="58" t="inlineStr">
        <is>
          <t>1ÇYSZEM00128</t>
        </is>
      </c>
      <c r="D52" s="60" t="inlineStr">
        <is>
          <t>Tek Ebat</t>
        </is>
      </c>
      <c r="E52" s="62" t="inlineStr">
        <is>
          <t>ZEMPTRC21</t>
        </is>
      </c>
      <c r="F52" s="64" t="inlineStr">
        <is>
          <t>Berjer</t>
        </is>
      </c>
      <c r="G52" s="66" t="inlineStr">
        <is>
          <t>Zem</t>
        </is>
      </c>
      <c r="H52" s="68" t="n">
        <v>500.0</v>
      </c>
      <c r="I52" s="70" t="n">
        <v>8900.33</v>
      </c>
      <c r="J52" s="72" t="n">
        <v>8900.32</v>
      </c>
      <c r="K52" s="74" t="n">
        <v>8441.03</v>
      </c>
      <c r="L52" s="76" t="n">
        <v>8441.02</v>
      </c>
      <c r="M52" s="78" t="n">
        <v>7845.5</v>
      </c>
      <c r="N52" s="80" t="n">
        <v>7845.49</v>
      </c>
      <c r="O52" s="82" t="n">
        <v>21.0</v>
      </c>
      <c r="P52" s="84" t="n">
        <v>16.0</v>
      </c>
      <c r="Q52" s="86" t="n">
        <v>14.5</v>
      </c>
      <c r="R52" s="88" t="n">
        <v>12.2</v>
      </c>
      <c r="S52" s="90" t="n">
        <v>9694.9</v>
      </c>
      <c r="T52" s="92" t="n">
        <v>21.0</v>
      </c>
      <c r="U52" s="94" t="n">
        <v>9744.9</v>
      </c>
      <c r="V52" s="96"/>
      <c r="W52" s="98">
        <f>IF(V52="","-",IF(V52&lt;=N52,R52,IF(V52&lt;K52,Q52,IF(V52&lt;I52,P52,O52))))</f>
        <v>0.0</v>
      </c>
      <c r="X52" s="100" t="inlineStr">
        <is>
          <t>Hayır</t>
        </is>
      </c>
      <c r="Y52" s="102"/>
      <c r="Z52" s="104" t="inlineStr">
        <is>
          <t>234868b12d51572262c80f465185356c</t>
        </is>
      </c>
    </row>
    <row r="53">
      <c r="A53" s="54" t="inlineStr">
        <is>
          <t>Rock Bohem Sallanır Berjer, Tarçın/Hardal</t>
        </is>
      </c>
      <c r="B53" s="56" t="inlineStr">
        <is>
          <t>19073551125</t>
        </is>
      </c>
      <c r="C53" s="58" t="inlineStr">
        <is>
          <t>1BRJZEM00142</t>
        </is>
      </c>
      <c r="D53" s="60" t="inlineStr">
        <is>
          <t>Tek Ebat</t>
        </is>
      </c>
      <c r="E53" s="62" t="inlineStr">
        <is>
          <t>ZEMRCK01</t>
        </is>
      </c>
      <c r="F53" s="64" t="inlineStr">
        <is>
          <t>Berjer</t>
        </is>
      </c>
      <c r="G53" s="66" t="inlineStr">
        <is>
          <t>Zem</t>
        </is>
      </c>
      <c r="H53" s="68" t="n">
        <v>423.0</v>
      </c>
      <c r="I53" s="70" t="n">
        <v>6672.85</v>
      </c>
      <c r="J53" s="72" t="n">
        <v>6672.84</v>
      </c>
      <c r="K53" s="74" t="n">
        <v>6330.97</v>
      </c>
      <c r="L53" s="76" t="n">
        <v>6330.96</v>
      </c>
      <c r="M53" s="78" t="n">
        <v>5892.02</v>
      </c>
      <c r="N53" s="80" t="n">
        <v>5892.01</v>
      </c>
      <c r="O53" s="82" t="n">
        <v>21.0</v>
      </c>
      <c r="P53" s="84" t="n">
        <v>16.1</v>
      </c>
      <c r="Q53" s="86" t="n">
        <v>14.5</v>
      </c>
      <c r="R53" s="88" t="n">
        <v>12.3</v>
      </c>
      <c r="S53" s="90" t="n">
        <v>7199.9</v>
      </c>
      <c r="T53" s="92" t="n">
        <v>21.0</v>
      </c>
      <c r="U53" s="94" t="n">
        <v>7249.9</v>
      </c>
      <c r="V53" s="96"/>
      <c r="W53" s="98">
        <f>IF(V53="","-",IF(V53&lt;=N53,R53,IF(V53&lt;K53,Q53,IF(V53&lt;I53,P53,O53))))</f>
        <v>0.0</v>
      </c>
      <c r="X53" s="100" t="inlineStr">
        <is>
          <t>Hayır</t>
        </is>
      </c>
      <c r="Y53" s="102"/>
      <c r="Z53" s="104" t="inlineStr">
        <is>
          <t>234868b12d51572262c80f465185356c</t>
        </is>
      </c>
    </row>
    <row r="54">
      <c r="A54" s="54" t="inlineStr">
        <is>
          <t>Tosca Bohem İkili Berjer Ceviz Ahşap, Kırık Beyaz</t>
        </is>
      </c>
      <c r="B54" s="56" t="inlineStr">
        <is>
          <t>0952453520</t>
        </is>
      </c>
      <c r="C54" s="58" t="inlineStr">
        <is>
          <t>1BRJZEM00171</t>
        </is>
      </c>
      <c r="D54" s="60" t="inlineStr">
        <is>
          <t>Tek Ebat</t>
        </is>
      </c>
      <c r="E54" s="62" t="inlineStr">
        <is>
          <t>ZEMTSC22</t>
        </is>
      </c>
      <c r="F54" s="64" t="inlineStr">
        <is>
          <t>Berjer</t>
        </is>
      </c>
      <c r="G54" s="66" t="inlineStr">
        <is>
          <t>Zem</t>
        </is>
      </c>
      <c r="H54" s="68" t="n">
        <v>479.0</v>
      </c>
      <c r="I54" s="70" t="n">
        <v>8104.44</v>
      </c>
      <c r="J54" s="72" t="n">
        <v>8104.43</v>
      </c>
      <c r="K54" s="74" t="n">
        <v>7757.22</v>
      </c>
      <c r="L54" s="76" t="n">
        <v>7757.21</v>
      </c>
      <c r="M54" s="78" t="n">
        <v>7310.32</v>
      </c>
      <c r="N54" s="80" t="n">
        <v>7310.31</v>
      </c>
      <c r="O54" s="82" t="n">
        <v>21.0</v>
      </c>
      <c r="P54" s="84" t="n">
        <v>16.3</v>
      </c>
      <c r="Q54" s="86" t="n">
        <v>15.0</v>
      </c>
      <c r="R54" s="88" t="n">
        <v>13.2</v>
      </c>
      <c r="S54" s="90" t="n">
        <v>8054.43</v>
      </c>
      <c r="T54" s="92" t="n">
        <v>16.3</v>
      </c>
      <c r="U54" s="94" t="n">
        <v>8104.43</v>
      </c>
      <c r="V54" s="96"/>
      <c r="W54" s="98">
        <f>IF(V54="","-",IF(V54&lt;=N54,R54,IF(V54&lt;K54,Q54,IF(V54&lt;I54,P54,O54))))</f>
        <v>0.0</v>
      </c>
      <c r="X54" s="100" t="inlineStr">
        <is>
          <t>Evet</t>
        </is>
      </c>
      <c r="Y54" s="102" t="inlineStr">
        <is>
          <t>rh_28090f76658c7fc8af8909b6aa074e56</t>
        </is>
      </c>
      <c r="Z54" s="104" t="inlineStr">
        <is>
          <t>234868b12d51572262c80f465185356c</t>
        </is>
      </c>
    </row>
    <row r="55">
      <c r="A55" s="54" t="inlineStr">
        <is>
          <t>Aryaves Hazeran Jüt Bohem İkili Kanepe Ceviz Ahşap, Sütlü Kahve</t>
        </is>
      </c>
      <c r="B55" s="56" t="inlineStr">
        <is>
          <t>4545355223</t>
        </is>
      </c>
      <c r="C55" s="58" t="inlineStr">
        <is>
          <t>1BRJZEM00178</t>
        </is>
      </c>
      <c r="D55" s="60" t="inlineStr">
        <is>
          <t>Tek Ebat</t>
        </is>
      </c>
      <c r="E55" s="62" t="inlineStr">
        <is>
          <t>ZEMARYVS</t>
        </is>
      </c>
      <c r="F55" s="64" t="inlineStr">
        <is>
          <t>Kanepe</t>
        </is>
      </c>
      <c r="G55" s="66" t="inlineStr">
        <is>
          <t>Zem</t>
        </is>
      </c>
      <c r="H55" s="68" t="n">
        <v>476.0</v>
      </c>
      <c r="I55" s="70" t="n">
        <v>7814.65</v>
      </c>
      <c r="J55" s="72" t="n">
        <v>7814.64</v>
      </c>
      <c r="K55" s="74" t="n">
        <v>7455.24</v>
      </c>
      <c r="L55" s="76" t="n">
        <v>7455.23</v>
      </c>
      <c r="M55" s="78" t="n">
        <v>6991.95</v>
      </c>
      <c r="N55" s="80" t="n">
        <v>6991.94</v>
      </c>
      <c r="O55" s="82" t="n">
        <v>19.0</v>
      </c>
      <c r="P55" s="84" t="n">
        <v>14.6</v>
      </c>
      <c r="Q55" s="86" t="n">
        <v>13.1</v>
      </c>
      <c r="R55" s="88" t="n">
        <v>11.0</v>
      </c>
      <c r="S55" s="90" t="n">
        <v>8349.9</v>
      </c>
      <c r="T55" s="92" t="n">
        <v>19.0</v>
      </c>
      <c r="U55" s="94" t="n">
        <v>8499.9</v>
      </c>
      <c r="V55" s="96"/>
      <c r="W55" s="98">
        <f>IF(V55="","-",IF(V55&lt;=N55,R55,IF(V55&lt;K55,Q55,IF(V55&lt;I55,P55,O55))))</f>
        <v>0.0</v>
      </c>
      <c r="X55" s="100" t="inlineStr">
        <is>
          <t>Hayır</t>
        </is>
      </c>
      <c r="Y55" s="102"/>
      <c r="Z55" s="104" t="inlineStr">
        <is>
          <t>234868b12d51572262c80f465185356c</t>
        </is>
      </c>
    </row>
    <row r="56">
      <c r="A56" s="54" t="inlineStr">
        <is>
          <t>Petra İkili Berjer, Kırık Beyaz</t>
        </is>
      </c>
      <c r="B56" s="56" t="inlineStr">
        <is>
          <t>19077523152</t>
        </is>
      </c>
      <c r="C56" s="58" t="inlineStr">
        <is>
          <t>1BRJZEM00117</t>
        </is>
      </c>
      <c r="D56" s="60" t="inlineStr">
        <is>
          <t>Tek Ebat</t>
        </is>
      </c>
      <c r="E56" s="62" t="inlineStr">
        <is>
          <t>PETRABYZ</t>
        </is>
      </c>
      <c r="F56" s="64" t="inlineStr">
        <is>
          <t>Berjer</t>
        </is>
      </c>
      <c r="G56" s="66" t="inlineStr">
        <is>
          <t>Zem</t>
        </is>
      </c>
      <c r="H56" s="68" t="n">
        <v>496.0</v>
      </c>
      <c r="I56" s="70" t="n">
        <v>9905.16</v>
      </c>
      <c r="J56" s="72" t="n">
        <v>9905.15</v>
      </c>
      <c r="K56" s="74" t="n">
        <v>9375.27</v>
      </c>
      <c r="L56" s="76" t="n">
        <v>9375.26</v>
      </c>
      <c r="M56" s="78" t="n">
        <v>8689.88</v>
      </c>
      <c r="N56" s="80" t="n">
        <v>8689.87</v>
      </c>
      <c r="O56" s="82" t="n">
        <v>21.0</v>
      </c>
      <c r="P56" s="84" t="n">
        <v>16.0</v>
      </c>
      <c r="Q56" s="86" t="n">
        <v>14.4</v>
      </c>
      <c r="R56" s="88" t="n">
        <v>11.9</v>
      </c>
      <c r="S56" s="90" t="n">
        <v>10899.9</v>
      </c>
      <c r="T56" s="92" t="n">
        <v>21.0</v>
      </c>
      <c r="U56" s="94" t="n">
        <v>10949.9</v>
      </c>
      <c r="V56" s="96"/>
      <c r="W56" s="98">
        <f>IF(V56="","-",IF(V56&lt;=N56,R56,IF(V56&lt;K56,Q56,IF(V56&lt;I56,P56,O56))))</f>
        <v>0.0</v>
      </c>
      <c r="X56" s="100" t="inlineStr">
        <is>
          <t>Hayır</t>
        </is>
      </c>
      <c r="Y56" s="102"/>
      <c r="Z56" s="104" t="inlineStr">
        <is>
          <t>234868b12d51572262c80f465185356c</t>
        </is>
      </c>
    </row>
    <row r="57">
      <c r="A57" s="54" t="inlineStr">
        <is>
          <t>Marcel Bohem Berjer, Sütlü Kahve/Taba Deri Sırt</t>
        </is>
      </c>
      <c r="B57" s="56" t="inlineStr">
        <is>
          <t>45190775150</t>
        </is>
      </c>
      <c r="C57" s="58" t="inlineStr">
        <is>
          <t>1BRJZEM00221</t>
        </is>
      </c>
      <c r="D57" s="60" t="inlineStr">
        <is>
          <t>Tek Ebat</t>
        </is>
      </c>
      <c r="E57" s="62" t="inlineStr">
        <is>
          <t>ZEMMRCLL</t>
        </is>
      </c>
      <c r="F57" s="64" t="inlineStr">
        <is>
          <t>Berjer</t>
        </is>
      </c>
      <c r="G57" s="66" t="inlineStr">
        <is>
          <t>Zem</t>
        </is>
      </c>
      <c r="H57" s="68" t="n">
        <v>476.0</v>
      </c>
      <c r="I57" s="70" t="n">
        <v>4949.71</v>
      </c>
      <c r="J57" s="72" t="n">
        <v>4949.7</v>
      </c>
      <c r="K57" s="74" t="n">
        <v>4673.14</v>
      </c>
      <c r="L57" s="76" t="n">
        <v>4673.13</v>
      </c>
      <c r="M57" s="78" t="n">
        <v>4318.39</v>
      </c>
      <c r="N57" s="80" t="n">
        <v>4318.38</v>
      </c>
      <c r="O57" s="82" t="n">
        <v>21.0</v>
      </c>
      <c r="P57" s="84" t="n">
        <v>16.0</v>
      </c>
      <c r="Q57" s="86" t="n">
        <v>14.2</v>
      </c>
      <c r="R57" s="88" t="n">
        <v>11.7</v>
      </c>
      <c r="S57" s="90" t="n">
        <v>4970.69</v>
      </c>
      <c r="T57" s="92" t="n">
        <v>21.0</v>
      </c>
      <c r="U57" s="94" t="n">
        <v>5449.9</v>
      </c>
      <c r="V57" s="96"/>
      <c r="W57" s="98">
        <f>IF(V57="","-",IF(V57&lt;=N57,R57,IF(V57&lt;K57,Q57,IF(V57&lt;I57,P57,O57))))</f>
        <v>0.0</v>
      </c>
      <c r="X57" s="100" t="inlineStr">
        <is>
          <t>Hayır</t>
        </is>
      </c>
      <c r="Y57" s="102"/>
      <c r="Z57" s="104" t="inlineStr">
        <is>
          <t>234868b12d51572262c80f465185356c</t>
        </is>
      </c>
    </row>
    <row r="58">
      <c r="A58" s="54" t="inlineStr">
        <is>
          <t>Marcel Bohem Berjer, Kırık Beyaz</t>
        </is>
      </c>
      <c r="B58" s="56" t="inlineStr">
        <is>
          <t>45190775050</t>
        </is>
      </c>
      <c r="C58" s="58" t="inlineStr">
        <is>
          <t>1BRJZEM00222</t>
        </is>
      </c>
      <c r="D58" s="60" t="inlineStr">
        <is>
          <t>Tek Ebat</t>
        </is>
      </c>
      <c r="E58" s="62" t="inlineStr">
        <is>
          <t>ZEMMRCLL</t>
        </is>
      </c>
      <c r="F58" s="64" t="inlineStr">
        <is>
          <t>Berjer</t>
        </is>
      </c>
      <c r="G58" s="66" t="inlineStr">
        <is>
          <t>Zem</t>
        </is>
      </c>
      <c r="H58" s="68" t="n">
        <v>497.0</v>
      </c>
      <c r="I58" s="70" t="n">
        <v>4438.95</v>
      </c>
      <c r="J58" s="72" t="n">
        <v>4438.94</v>
      </c>
      <c r="K58" s="74" t="n">
        <v>4202.96</v>
      </c>
      <c r="L58" s="76" t="n">
        <v>4202.95</v>
      </c>
      <c r="M58" s="78" t="n">
        <v>3897.93</v>
      </c>
      <c r="N58" s="80" t="n">
        <v>3897.92</v>
      </c>
      <c r="O58" s="82" t="n">
        <v>21.0</v>
      </c>
      <c r="P58" s="84" t="n">
        <v>16.0</v>
      </c>
      <c r="Q58" s="86" t="n">
        <v>14.4</v>
      </c>
      <c r="R58" s="88" t="n">
        <v>12.0</v>
      </c>
      <c r="S58" s="90" t="n">
        <v>4804.9</v>
      </c>
      <c r="T58" s="92" t="n">
        <v>21.0</v>
      </c>
      <c r="U58" s="94" t="n">
        <v>4829.9</v>
      </c>
      <c r="V58" s="96"/>
      <c r="W58" s="98">
        <f>IF(V58="","-",IF(V58&lt;=N58,R58,IF(V58&lt;K58,Q58,IF(V58&lt;I58,P58,O58))))</f>
        <v>0.0</v>
      </c>
      <c r="X58" s="100" t="inlineStr">
        <is>
          <t>Hayır</t>
        </is>
      </c>
      <c r="Y58" s="102"/>
      <c r="Z58" s="104" t="inlineStr">
        <is>
          <t>234868b12d51572262c80f465185356c</t>
        </is>
      </c>
    </row>
    <row r="59">
      <c r="A59" s="54" t="inlineStr">
        <is>
          <t>Alto Bohem Sallanır Berjer, Gri</t>
        </is>
      </c>
      <c r="B59" s="56" t="inlineStr">
        <is>
          <t>190772006</t>
        </is>
      </c>
      <c r="C59" s="58" t="inlineStr">
        <is>
          <t>1BRJZEM00218</t>
        </is>
      </c>
      <c r="D59" s="60" t="inlineStr">
        <is>
          <t>Tek Ebat</t>
        </is>
      </c>
      <c r="E59" s="62" t="inlineStr">
        <is>
          <t>ZEMALT</t>
        </is>
      </c>
      <c r="F59" s="64" t="inlineStr">
        <is>
          <t>Berjer</t>
        </is>
      </c>
      <c r="G59" s="66" t="inlineStr">
        <is>
          <t>Zem</t>
        </is>
      </c>
      <c r="H59" s="68" t="n">
        <v>492.0</v>
      </c>
      <c r="I59" s="70" t="n">
        <v>4058.55</v>
      </c>
      <c r="J59" s="72" t="n">
        <v>4058.54</v>
      </c>
      <c r="K59" s="74" t="n">
        <v>3822.75</v>
      </c>
      <c r="L59" s="76" t="n">
        <v>3822.74</v>
      </c>
      <c r="M59" s="78" t="n">
        <v>3521.01</v>
      </c>
      <c r="N59" s="80" t="n">
        <v>3521.0</v>
      </c>
      <c r="O59" s="82" t="n">
        <v>21.0</v>
      </c>
      <c r="P59" s="84" t="n">
        <v>15.9</v>
      </c>
      <c r="Q59" s="86" t="n">
        <v>14.1</v>
      </c>
      <c r="R59" s="88" t="n">
        <v>11.5</v>
      </c>
      <c r="S59" s="90" t="n">
        <v>4374.9</v>
      </c>
      <c r="T59" s="92" t="n">
        <v>21.0</v>
      </c>
      <c r="U59" s="94" t="n">
        <v>4399.9</v>
      </c>
      <c r="V59" s="96"/>
      <c r="W59" s="98">
        <f>IF(V59="","-",IF(V59&lt;=N59,R59,IF(V59&lt;K59,Q59,IF(V59&lt;I59,P59,O59))))</f>
        <v>0.0</v>
      </c>
      <c r="X59" s="100" t="inlineStr">
        <is>
          <t>Hayır</t>
        </is>
      </c>
      <c r="Y59" s="102"/>
      <c r="Z59" s="104" t="inlineStr">
        <is>
          <t>234868b12d51572262c80f465185356c</t>
        </is>
      </c>
    </row>
    <row r="60">
      <c r="A60" s="54" t="inlineStr">
        <is>
          <t>Alto Bohem Sallanır Berjer, Açık Krem</t>
        </is>
      </c>
      <c r="B60" s="56" t="inlineStr">
        <is>
          <t>190772005</t>
        </is>
      </c>
      <c r="C60" s="58" t="inlineStr">
        <is>
          <t>1BRJZEM00219</t>
        </is>
      </c>
      <c r="D60" s="60" t="inlineStr">
        <is>
          <t>Tek Ebat</t>
        </is>
      </c>
      <c r="E60" s="62" t="inlineStr">
        <is>
          <t>ZEMALT</t>
        </is>
      </c>
      <c r="F60" s="64" t="inlineStr">
        <is>
          <t>Berjer</t>
        </is>
      </c>
      <c r="G60" s="66" t="inlineStr">
        <is>
          <t>Zem</t>
        </is>
      </c>
      <c r="H60" s="68" t="n">
        <v>440.0</v>
      </c>
      <c r="I60" s="70" t="n">
        <v>4091.44</v>
      </c>
      <c r="J60" s="72" t="n">
        <v>4091.43</v>
      </c>
      <c r="K60" s="74" t="n">
        <v>3883.68</v>
      </c>
      <c r="L60" s="76" t="n">
        <v>3883.67</v>
      </c>
      <c r="M60" s="78" t="n">
        <v>3617.52</v>
      </c>
      <c r="N60" s="80" t="n">
        <v>3617.51</v>
      </c>
      <c r="O60" s="82" t="n">
        <v>21.0</v>
      </c>
      <c r="P60" s="84" t="n">
        <v>16.1</v>
      </c>
      <c r="Q60" s="86" t="n">
        <v>14.6</v>
      </c>
      <c r="R60" s="88" t="n">
        <v>12.3</v>
      </c>
      <c r="S60" s="90" t="n">
        <v>4374.9</v>
      </c>
      <c r="T60" s="92" t="n">
        <v>21.0</v>
      </c>
      <c r="U60" s="94" t="n">
        <v>4399.9</v>
      </c>
      <c r="V60" s="96"/>
      <c r="W60" s="98">
        <f>IF(V60="","-",IF(V60&lt;=N60,R60,IF(V60&lt;K60,Q60,IF(V60&lt;I60,P60,O60))))</f>
        <v>0.0</v>
      </c>
      <c r="X60" s="100" t="inlineStr">
        <is>
          <t>Hayır</t>
        </is>
      </c>
      <c r="Y60" s="102"/>
      <c r="Z60" s="104" t="inlineStr">
        <is>
          <t>234868b12d51572262c80f465185356c</t>
        </is>
      </c>
    </row>
    <row r="61">
      <c r="A61" s="54" t="inlineStr">
        <is>
          <t>Meira Tek Kişilik Katlanır Yataklı Koltuk, Açık Krem</t>
        </is>
      </c>
      <c r="B61" s="56" t="inlineStr">
        <is>
          <t>1907805452346</t>
        </is>
      </c>
      <c r="C61" s="58" t="inlineStr">
        <is>
          <t>1BRJZEM00186</t>
        </is>
      </c>
      <c r="D61" s="60" t="inlineStr">
        <is>
          <t>Tek Ebat</t>
        </is>
      </c>
      <c r="E61" s="62" t="inlineStr">
        <is>
          <t>ZEMMEİRA</t>
        </is>
      </c>
      <c r="F61" s="64" t="inlineStr">
        <is>
          <t>Berjer</t>
        </is>
      </c>
      <c r="G61" s="66" t="inlineStr">
        <is>
          <t>Zem</t>
        </is>
      </c>
      <c r="H61" s="68" t="n">
        <v>401.0</v>
      </c>
      <c r="I61" s="70" t="n">
        <v>3160.28</v>
      </c>
      <c r="J61" s="72" t="n">
        <v>3160.27</v>
      </c>
      <c r="K61" s="74" t="n">
        <v>2917.74</v>
      </c>
      <c r="L61" s="76" t="n">
        <v>2917.73</v>
      </c>
      <c r="M61" s="78" t="n">
        <v>2610.58</v>
      </c>
      <c r="N61" s="80" t="n">
        <v>2610.57</v>
      </c>
      <c r="O61" s="82" t="n">
        <v>21.0</v>
      </c>
      <c r="P61" s="84" t="n">
        <v>15.4</v>
      </c>
      <c r="Q61" s="86" t="n">
        <v>13.0</v>
      </c>
      <c r="R61" s="88" t="n">
        <v>9.2</v>
      </c>
      <c r="S61" s="90" t="n">
        <v>3624.9</v>
      </c>
      <c r="T61" s="92" t="n">
        <v>21.0</v>
      </c>
      <c r="U61" s="94" t="n">
        <v>3649.9</v>
      </c>
      <c r="V61" s="96"/>
      <c r="W61" s="98">
        <f>IF(V61="","-",IF(V61&lt;=N61,R61,IF(V61&lt;K61,Q61,IF(V61&lt;I61,P61,O61))))</f>
        <v>0.0</v>
      </c>
      <c r="X61" s="100" t="inlineStr">
        <is>
          <t>Hayır</t>
        </is>
      </c>
      <c r="Y61" s="102"/>
      <c r="Z61" s="104" t="inlineStr">
        <is>
          <t>234868b12d51572262c80f465185356c</t>
        </is>
      </c>
    </row>
    <row r="62">
      <c r="A62" s="54" t="inlineStr">
        <is>
          <t>Favela Bohem Çay Seti Natürel Ahşap, Hardal (1 ADET İKİLİ BERJER 2 ADET TEKLİ BERJER)</t>
        </is>
      </c>
      <c r="B62" s="56" t="inlineStr">
        <is>
          <t>190745310049</t>
        </is>
      </c>
      <c r="C62" s="58" t="inlineStr">
        <is>
          <t>1ÇYSZEM00047</t>
        </is>
      </c>
      <c r="D62" s="60" t="inlineStr">
        <is>
          <t>Tek Ebat</t>
        </is>
      </c>
      <c r="E62" s="62" t="inlineStr">
        <is>
          <t>ZEMFVNST7</t>
        </is>
      </c>
      <c r="F62" s="64" t="inlineStr">
        <is>
          <t>Çay Seti Koltuk Takımı</t>
        </is>
      </c>
      <c r="G62" s="66" t="inlineStr">
        <is>
          <t>Zem</t>
        </is>
      </c>
      <c r="H62" s="68" t="n">
        <v>498.0</v>
      </c>
      <c r="I62" s="70" t="n">
        <v>20988.69</v>
      </c>
      <c r="J62" s="72" t="n">
        <v>20988.68</v>
      </c>
      <c r="K62" s="74" t="n">
        <v>19798.65</v>
      </c>
      <c r="L62" s="76" t="n">
        <v>19798.64</v>
      </c>
      <c r="M62" s="78" t="n">
        <v>18259.15</v>
      </c>
      <c r="N62" s="80" t="n">
        <v>18259.14</v>
      </c>
      <c r="O62" s="82" t="n">
        <v>20.0</v>
      </c>
      <c r="P62" s="84" t="n">
        <v>15.1</v>
      </c>
      <c r="Q62" s="86" t="n">
        <v>13.3</v>
      </c>
      <c r="R62" s="88" t="n">
        <v>10.6</v>
      </c>
      <c r="S62" s="90" t="n">
        <v>23449.9</v>
      </c>
      <c r="T62" s="92" t="n">
        <v>20.0</v>
      </c>
      <c r="U62" s="94" t="n">
        <v>23499.9</v>
      </c>
      <c r="V62" s="96"/>
      <c r="W62" s="98">
        <f>IF(V62="","-",IF(V62&lt;=N62,R62,IF(V62&lt;K62,Q62,IF(V62&lt;I62,P62,O62))))</f>
        <v>0.0</v>
      </c>
      <c r="X62" s="100" t="inlineStr">
        <is>
          <t>Hayır</t>
        </is>
      </c>
      <c r="Y62" s="102"/>
      <c r="Z62" s="104" t="inlineStr">
        <is>
          <t>234868b12d51572262c80f465185356c</t>
        </is>
      </c>
    </row>
    <row r="63">
      <c r="A63" s="54" t="inlineStr">
        <is>
          <t>Sevilla Bohem İkili Kanepe Natürel Ahşap, Hardal</t>
        </is>
      </c>
      <c r="B63" s="56" t="inlineStr">
        <is>
          <t>190745310018</t>
        </is>
      </c>
      <c r="C63" s="58" t="inlineStr">
        <is>
          <t>1BRJZEM00190</t>
        </is>
      </c>
      <c r="D63" s="60" t="inlineStr">
        <is>
          <t>Tek Ebat</t>
        </is>
      </c>
      <c r="E63" s="62" t="inlineStr">
        <is>
          <t>ZEM01SNT</t>
        </is>
      </c>
      <c r="F63" s="64" t="inlineStr">
        <is>
          <t>Kanepe</t>
        </is>
      </c>
      <c r="G63" s="66" t="inlineStr">
        <is>
          <t>Zem</t>
        </is>
      </c>
      <c r="H63" s="68" t="n">
        <v>495.0</v>
      </c>
      <c r="I63" s="70" t="n">
        <v>8884.27</v>
      </c>
      <c r="J63" s="72" t="n">
        <v>8884.26</v>
      </c>
      <c r="K63" s="74" t="n">
        <v>8430.73</v>
      </c>
      <c r="L63" s="76" t="n">
        <v>8430.72</v>
      </c>
      <c r="M63" s="78" t="n">
        <v>7847.94</v>
      </c>
      <c r="N63" s="80" t="n">
        <v>7847.93</v>
      </c>
      <c r="O63" s="82" t="n">
        <v>19.0</v>
      </c>
      <c r="P63" s="84" t="n">
        <v>14.4</v>
      </c>
      <c r="Q63" s="86" t="n">
        <v>12.8</v>
      </c>
      <c r="R63" s="88" t="n">
        <v>10.4</v>
      </c>
      <c r="S63" s="90" t="n">
        <v>9549.9</v>
      </c>
      <c r="T63" s="92" t="n">
        <v>19.0</v>
      </c>
      <c r="U63" s="94" t="n">
        <v>9699.9</v>
      </c>
      <c r="V63" s="96"/>
      <c r="W63" s="98">
        <f>IF(V63="","-",IF(V63&lt;=N63,R63,IF(V63&lt;K63,Q63,IF(V63&lt;I63,P63,O63))))</f>
        <v>0.0</v>
      </c>
      <c r="X63" s="100" t="inlineStr">
        <is>
          <t>Hayır</t>
        </is>
      </c>
      <c r="Y63" s="102"/>
      <c r="Z63" s="104" t="inlineStr">
        <is>
          <t>234868b12d51572262c80f465185356c</t>
        </is>
      </c>
    </row>
    <row r="64">
      <c r="A64" s="54" t="inlineStr">
        <is>
          <t>Favela Bohem Çay Seti Natürel Ahşap, Sütlü Kahve (1 ADET İKİLİ BERJER 2 ADET TEKLİ BERJER)</t>
        </is>
      </c>
      <c r="B64" s="56" t="inlineStr">
        <is>
          <t>19074538999</t>
        </is>
      </c>
      <c r="C64" s="58" t="inlineStr">
        <is>
          <t>1ÇYSZEM00042</t>
        </is>
      </c>
      <c r="D64" s="60" t="inlineStr">
        <is>
          <t>Tek Ebat</t>
        </is>
      </c>
      <c r="E64" s="62" t="inlineStr">
        <is>
          <t>ZEMFVNST7</t>
        </is>
      </c>
      <c r="F64" s="64" t="inlineStr">
        <is>
          <t>Çay Seti Koltuk Takımı</t>
        </is>
      </c>
      <c r="G64" s="66" t="inlineStr">
        <is>
          <t>Zem</t>
        </is>
      </c>
      <c r="H64" s="68" t="n">
        <v>489.0</v>
      </c>
      <c r="I64" s="70" t="n">
        <v>20740.94</v>
      </c>
      <c r="J64" s="72" t="n">
        <v>20740.93</v>
      </c>
      <c r="K64" s="74" t="n">
        <v>19520.37</v>
      </c>
      <c r="L64" s="76" t="n">
        <v>19520.36</v>
      </c>
      <c r="M64" s="78" t="n">
        <v>17943.05</v>
      </c>
      <c r="N64" s="80" t="n">
        <v>17943.04</v>
      </c>
      <c r="O64" s="82" t="n">
        <v>20.0</v>
      </c>
      <c r="P64" s="84" t="n">
        <v>15.0</v>
      </c>
      <c r="Q64" s="86" t="n">
        <v>13.2</v>
      </c>
      <c r="R64" s="88" t="n">
        <v>10.4</v>
      </c>
      <c r="S64" s="90" t="n">
        <v>23449.9</v>
      </c>
      <c r="T64" s="92" t="n">
        <v>20.0</v>
      </c>
      <c r="U64" s="94" t="n">
        <v>23499.9</v>
      </c>
      <c r="V64" s="96"/>
      <c r="W64" s="98">
        <f>IF(V64="","-",IF(V64&lt;=N64,R64,IF(V64&lt;K64,Q64,IF(V64&lt;I64,P64,O64))))</f>
        <v>0.0</v>
      </c>
      <c r="X64" s="100" t="inlineStr">
        <is>
          <t>Hayır</t>
        </is>
      </c>
      <c r="Y64" s="102"/>
      <c r="Z64" s="104" t="inlineStr">
        <is>
          <t>234868b12d51572262c80f465185356c</t>
        </is>
      </c>
    </row>
    <row r="65">
      <c r="A65" s="54" t="inlineStr">
        <is>
          <t>Sevilla Bohem İkili Kanepe Natürel Ahşap, Sütlü Kahve</t>
        </is>
      </c>
      <c r="B65" s="56" t="inlineStr">
        <is>
          <t>19074535599</t>
        </is>
      </c>
      <c r="C65" s="58" t="inlineStr">
        <is>
          <t>1BRJZEM00210</t>
        </is>
      </c>
      <c r="D65" s="60" t="inlineStr">
        <is>
          <t>Tek Ebat</t>
        </is>
      </c>
      <c r="E65" s="62" t="inlineStr">
        <is>
          <t>ZEM01SNT</t>
        </is>
      </c>
      <c r="F65" s="64" t="inlineStr">
        <is>
          <t>Kanepe</t>
        </is>
      </c>
      <c r="G65" s="66" t="inlineStr">
        <is>
          <t>Zem</t>
        </is>
      </c>
      <c r="H65" s="68" t="n">
        <v>493.0</v>
      </c>
      <c r="I65" s="70" t="n">
        <v>8969.12</v>
      </c>
      <c r="J65" s="72" t="n">
        <v>8969.11</v>
      </c>
      <c r="K65" s="74" t="n">
        <v>8593.4</v>
      </c>
      <c r="L65" s="76" t="n">
        <v>8593.39</v>
      </c>
      <c r="M65" s="78" t="n">
        <v>8106.66</v>
      </c>
      <c r="N65" s="80" t="n">
        <v>8106.65</v>
      </c>
      <c r="O65" s="82" t="n">
        <v>19.0</v>
      </c>
      <c r="P65" s="84" t="n">
        <v>14.7</v>
      </c>
      <c r="Q65" s="86" t="n">
        <v>13.3</v>
      </c>
      <c r="R65" s="88" t="n">
        <v>11.4</v>
      </c>
      <c r="S65" s="90" t="n">
        <v>9549.9</v>
      </c>
      <c r="T65" s="92" t="n">
        <v>19.0</v>
      </c>
      <c r="U65" s="94" t="n">
        <v>9699.9</v>
      </c>
      <c r="V65" s="96"/>
      <c r="W65" s="98">
        <f>IF(V65="","-",IF(V65&lt;=N65,R65,IF(V65&lt;K65,Q65,IF(V65&lt;I65,P65,O65))))</f>
        <v>0.0</v>
      </c>
      <c r="X65" s="100" t="inlineStr">
        <is>
          <t>Hayır</t>
        </is>
      </c>
      <c r="Y65" s="102"/>
      <c r="Z65" s="104" t="inlineStr">
        <is>
          <t>234868b12d51572262c80f465185356c</t>
        </is>
      </c>
    </row>
    <row r="66">
      <c r="A66" s="54" t="inlineStr">
        <is>
          <t>Favela Bohem Çay Seti Natürel Ahşap, Gri (1 ADET İKİLİ BERJER 2 ADET TEKLİ BERJER)</t>
        </is>
      </c>
      <c r="B66" s="56" t="inlineStr">
        <is>
          <t>19074535299</t>
        </is>
      </c>
      <c r="C66" s="58" t="inlineStr">
        <is>
          <t>1ÇYSZEM00126</t>
        </is>
      </c>
      <c r="D66" s="60" t="inlineStr">
        <is>
          <t>Tek Ebat</t>
        </is>
      </c>
      <c r="E66" s="62" t="inlineStr">
        <is>
          <t>ZEMFVNST7</t>
        </is>
      </c>
      <c r="F66" s="64" t="inlineStr">
        <is>
          <t>Çay Seti Koltuk Takımı</t>
        </is>
      </c>
      <c r="G66" s="66" t="inlineStr">
        <is>
          <t>Zem</t>
        </is>
      </c>
      <c r="H66" s="68" t="n">
        <v>498.0</v>
      </c>
      <c r="I66" s="70" t="n">
        <v>21917.68</v>
      </c>
      <c r="J66" s="72" t="n">
        <v>21917.67</v>
      </c>
      <c r="K66" s="74" t="n">
        <v>20818.09</v>
      </c>
      <c r="L66" s="76" t="n">
        <v>20818.08</v>
      </c>
      <c r="M66" s="78" t="n">
        <v>19399.06</v>
      </c>
      <c r="N66" s="80" t="n">
        <v>19399.05</v>
      </c>
      <c r="O66" s="82" t="n">
        <v>20.0</v>
      </c>
      <c r="P66" s="84" t="n">
        <v>15.3</v>
      </c>
      <c r="Q66" s="86" t="n">
        <v>13.7</v>
      </c>
      <c r="R66" s="88" t="n">
        <v>11.4</v>
      </c>
      <c r="S66" s="90" t="n">
        <v>23449.9</v>
      </c>
      <c r="T66" s="92" t="n">
        <v>20.0</v>
      </c>
      <c r="U66" s="94" t="n">
        <v>23499.9</v>
      </c>
      <c r="V66" s="96"/>
      <c r="W66" s="98">
        <f>IF(V66="","-",IF(V66&lt;=N66,R66,IF(V66&lt;K66,Q66,IF(V66&lt;I66,P66,O66))))</f>
        <v>0.0</v>
      </c>
      <c r="X66" s="100" t="inlineStr">
        <is>
          <t>Hayır</t>
        </is>
      </c>
      <c r="Y66" s="102"/>
      <c r="Z66" s="104" t="inlineStr">
        <is>
          <t>234868b12d51572262c80f465185356c</t>
        </is>
      </c>
    </row>
    <row r="67">
      <c r="A67" s="54" t="inlineStr">
        <is>
          <t>Sevilla Bohem Ikili Kanepe Natürel Ahşap, Gri</t>
        </is>
      </c>
      <c r="B67" s="56" t="inlineStr">
        <is>
          <t>19074535059</t>
        </is>
      </c>
      <c r="C67" s="58" t="inlineStr">
        <is>
          <t>1BRJZEM00209</t>
        </is>
      </c>
      <c r="D67" s="60" t="inlineStr">
        <is>
          <t>Tek Ebat</t>
        </is>
      </c>
      <c r="E67" s="62" t="inlineStr">
        <is>
          <t>ZEM01SNT</t>
        </is>
      </c>
      <c r="F67" s="64" t="inlineStr">
        <is>
          <t>Kanepe</t>
        </is>
      </c>
      <c r="G67" s="66" t="inlineStr">
        <is>
          <t>Zem</t>
        </is>
      </c>
      <c r="H67" s="68" t="n">
        <v>493.0</v>
      </c>
      <c r="I67" s="70" t="n">
        <v>8880.27</v>
      </c>
      <c r="J67" s="72" t="n">
        <v>8880.26</v>
      </c>
      <c r="K67" s="74" t="n">
        <v>8442.47</v>
      </c>
      <c r="L67" s="76" t="n">
        <v>8442.46</v>
      </c>
      <c r="M67" s="78" t="n">
        <v>7879.49</v>
      </c>
      <c r="N67" s="80" t="n">
        <v>7879.48</v>
      </c>
      <c r="O67" s="82" t="n">
        <v>19.0</v>
      </c>
      <c r="P67" s="84" t="n">
        <v>14.5</v>
      </c>
      <c r="Q67" s="86" t="n">
        <v>12.9</v>
      </c>
      <c r="R67" s="88" t="n">
        <v>10.6</v>
      </c>
      <c r="S67" s="90" t="n">
        <v>9549.9</v>
      </c>
      <c r="T67" s="92" t="n">
        <v>19.0</v>
      </c>
      <c r="U67" s="94" t="n">
        <v>9699.9</v>
      </c>
      <c r="V67" s="96"/>
      <c r="W67" s="98">
        <f>IF(V67="","-",IF(V67&lt;=N67,R67,IF(V67&lt;K67,Q67,IF(V67&lt;I67,P67,O67))))</f>
        <v>0.0</v>
      </c>
      <c r="X67" s="100" t="inlineStr">
        <is>
          <t>Hayır</t>
        </is>
      </c>
      <c r="Y67" s="102"/>
      <c r="Z67" s="104" t="inlineStr">
        <is>
          <t>234868b12d51572262c80f465185356c</t>
        </is>
      </c>
    </row>
    <row r="68">
      <c r="A68" s="54" t="inlineStr">
        <is>
          <t>Favela Bohem Çay Seti Natürel Ahşap, Kırık Beyaz (1 ADET IKİLİ BERJER 2 ADET TEKLİ BERJER)</t>
        </is>
      </c>
      <c r="B68" s="56" t="inlineStr">
        <is>
          <t>19074535029</t>
        </is>
      </c>
      <c r="C68" s="58" t="inlineStr">
        <is>
          <t>1ÇYSZEM00119</t>
        </is>
      </c>
      <c r="D68" s="60" t="inlineStr">
        <is>
          <t>Tek Ebat</t>
        </is>
      </c>
      <c r="E68" s="62" t="inlineStr">
        <is>
          <t>ZEMFVNST7</t>
        </is>
      </c>
      <c r="F68" s="64" t="inlineStr">
        <is>
          <t>Çay Seti Koltuk Takımı</t>
        </is>
      </c>
      <c r="G68" s="66" t="inlineStr">
        <is>
          <t>Zem</t>
        </is>
      </c>
      <c r="H68" s="68" t="n">
        <v>498.0</v>
      </c>
      <c r="I68" s="70" t="n">
        <v>21288.35</v>
      </c>
      <c r="J68" s="72" t="n">
        <v>21288.34</v>
      </c>
      <c r="K68" s="74" t="n">
        <v>20155.56</v>
      </c>
      <c r="L68" s="76" t="n">
        <v>20155.55</v>
      </c>
      <c r="M68" s="78" t="n">
        <v>18687.12</v>
      </c>
      <c r="N68" s="80" t="n">
        <v>18687.11</v>
      </c>
      <c r="O68" s="82" t="n">
        <v>20.0</v>
      </c>
      <c r="P68" s="84" t="n">
        <v>15.2</v>
      </c>
      <c r="Q68" s="86" t="n">
        <v>13.5</v>
      </c>
      <c r="R68" s="88" t="n">
        <v>11.0</v>
      </c>
      <c r="S68" s="90" t="n">
        <v>23449.9</v>
      </c>
      <c r="T68" s="92" t="n">
        <v>20.0</v>
      </c>
      <c r="U68" s="94" t="n">
        <v>23499.9</v>
      </c>
      <c r="V68" s="96"/>
      <c r="W68" s="98">
        <f>IF(V68="","-",IF(V68&lt;=N68,R68,IF(V68&lt;K68,Q68,IF(V68&lt;I68,P68,O68))))</f>
        <v>0.0</v>
      </c>
      <c r="X68" s="100" t="inlineStr">
        <is>
          <t>Hayır</t>
        </is>
      </c>
      <c r="Y68" s="102"/>
      <c r="Z68" s="104" t="inlineStr">
        <is>
          <t>234868b12d51572262c80f465185356c</t>
        </is>
      </c>
    </row>
    <row r="69">
      <c r="A69" s="54" t="inlineStr">
        <is>
          <t>Sevilla Bohem Ikili Kanepe Natürel Ahşap, Kırık Beyaz</t>
        </is>
      </c>
      <c r="B69" s="56" t="inlineStr">
        <is>
          <t>19074535003</t>
        </is>
      </c>
      <c r="C69" s="58" t="inlineStr">
        <is>
          <t>1BRJZEM00207</t>
        </is>
      </c>
      <c r="D69" s="60" t="inlineStr">
        <is>
          <t>Tek Ebat</t>
        </is>
      </c>
      <c r="E69" s="62" t="inlineStr">
        <is>
          <t>ZEM01SNT</t>
        </is>
      </c>
      <c r="F69" s="64" t="inlineStr">
        <is>
          <t>Kanepe</t>
        </is>
      </c>
      <c r="G69" s="66" t="inlineStr">
        <is>
          <t>Zem</t>
        </is>
      </c>
      <c r="H69" s="68" t="n">
        <v>494.0</v>
      </c>
      <c r="I69" s="70" t="n">
        <v>8879.85</v>
      </c>
      <c r="J69" s="72" t="n">
        <v>8879.84</v>
      </c>
      <c r="K69" s="74" t="n">
        <v>8386.52</v>
      </c>
      <c r="L69" s="76" t="n">
        <v>8386.51</v>
      </c>
      <c r="M69" s="78" t="n">
        <v>7759.1</v>
      </c>
      <c r="N69" s="80" t="n">
        <v>7759.09</v>
      </c>
      <c r="O69" s="82" t="n">
        <v>19.0</v>
      </c>
      <c r="P69" s="84" t="n">
        <v>14.3</v>
      </c>
      <c r="Q69" s="86" t="n">
        <v>12.5</v>
      </c>
      <c r="R69" s="88" t="n">
        <v>9.9</v>
      </c>
      <c r="S69" s="90" t="n">
        <v>9549.9</v>
      </c>
      <c r="T69" s="92" t="n">
        <v>19.0</v>
      </c>
      <c r="U69" s="94" t="n">
        <v>9699.9</v>
      </c>
      <c r="V69" s="96"/>
      <c r="W69" s="98">
        <f>IF(V69="","-",IF(V69&lt;=N69,R69,IF(V69&lt;K69,Q69,IF(V69&lt;I69,P69,O69))))</f>
        <v>0.0</v>
      </c>
      <c r="X69" s="100" t="inlineStr">
        <is>
          <t>Hayır</t>
        </is>
      </c>
      <c r="Y69" s="102"/>
      <c r="Z69" s="104" t="inlineStr">
        <is>
          <t>234868b12d51572262c80f465185356c</t>
        </is>
      </c>
    </row>
    <row r="70">
      <c r="A70" s="54" t="inlineStr">
        <is>
          <t>Alaves Hazeran Jüt Çay Seti Ceviz Ahşap,sütlü Kahve (1 ADET IKİLİ BERJER 2 ADET TEKLİ BERJER)</t>
        </is>
      </c>
      <c r="B70" s="56" t="inlineStr">
        <is>
          <t>00051997109</t>
        </is>
      </c>
      <c r="C70" s="58" t="inlineStr">
        <is>
          <t>1ÇYSZEM00113</t>
        </is>
      </c>
      <c r="D70" s="60" t="inlineStr">
        <is>
          <t>Tek Ebat</t>
        </is>
      </c>
      <c r="E70" s="62" t="inlineStr">
        <is>
          <t>ZEMALVS9</t>
        </is>
      </c>
      <c r="F70" s="64" t="inlineStr">
        <is>
          <t>Çay Seti Koltuk Takımı</t>
        </is>
      </c>
      <c r="G70" s="66" t="inlineStr">
        <is>
          <t>Zem</t>
        </is>
      </c>
      <c r="H70" s="68" t="n">
        <v>459.0</v>
      </c>
      <c r="I70" s="70" t="n">
        <v>18900.7</v>
      </c>
      <c r="J70" s="72" t="n">
        <v>18900.69</v>
      </c>
      <c r="K70" s="74" t="n">
        <v>17946.9</v>
      </c>
      <c r="L70" s="76" t="n">
        <v>17946.89</v>
      </c>
      <c r="M70" s="78" t="n">
        <v>16716.5</v>
      </c>
      <c r="N70" s="80" t="n">
        <v>16716.49</v>
      </c>
      <c r="O70" s="82" t="n">
        <v>20.0</v>
      </c>
      <c r="P70" s="84" t="n">
        <v>15.3</v>
      </c>
      <c r="Q70" s="86" t="n">
        <v>13.7</v>
      </c>
      <c r="R70" s="88" t="n">
        <v>11.4</v>
      </c>
      <c r="S70" s="90" t="n">
        <v>20449.9</v>
      </c>
      <c r="T70" s="92" t="n">
        <v>20.0</v>
      </c>
      <c r="U70" s="94" t="n">
        <v>20499.9</v>
      </c>
      <c r="V70" s="96"/>
      <c r="W70" s="98">
        <f>IF(V70="","-",IF(V70&lt;=N70,R70,IF(V70&lt;K70,Q70,IF(V70&lt;I70,P70,O70))))</f>
        <v>0.0</v>
      </c>
      <c r="X70" s="100" t="inlineStr">
        <is>
          <t>Hayır</t>
        </is>
      </c>
      <c r="Y70" s="102"/>
      <c r="Z70" s="104" t="inlineStr">
        <is>
          <t>234868b12d51572262c80f465185356c</t>
        </is>
      </c>
    </row>
    <row r="71">
      <c r="A71" s="54" t="inlineStr">
        <is>
          <t>Alaves Hazeranjüt Çay Seti Ceviz Ahşap,sütlü Kahve(1ADET IKİLİ BERJER2ADET TEKLİ BERJER 1ADET SEHPA)</t>
        </is>
      </c>
      <c r="B71" s="56" t="inlineStr">
        <is>
          <t>00051997108</t>
        </is>
      </c>
      <c r="C71" s="58" t="inlineStr">
        <is>
          <t>1ÇYSZEM00037</t>
        </is>
      </c>
      <c r="D71" s="60" t="inlineStr">
        <is>
          <t>Tek Ebat</t>
        </is>
      </c>
      <c r="E71" s="62" t="inlineStr">
        <is>
          <t>ZEMALVS8</t>
        </is>
      </c>
      <c r="F71" s="64" t="inlineStr">
        <is>
          <t>Çay Seti Koltuk Takımı</t>
        </is>
      </c>
      <c r="G71" s="66" t="inlineStr">
        <is>
          <t>Zem</t>
        </is>
      </c>
      <c r="H71" s="68" t="n">
        <v>489.0</v>
      </c>
      <c r="I71" s="70" t="n">
        <v>22983.11</v>
      </c>
      <c r="J71" s="72" t="n">
        <v>22983.1</v>
      </c>
      <c r="K71" s="74" t="n">
        <v>21863.08</v>
      </c>
      <c r="L71" s="76" t="n">
        <v>21863.07</v>
      </c>
      <c r="M71" s="78" t="n">
        <v>20417.2</v>
      </c>
      <c r="N71" s="80" t="n">
        <v>20417.19</v>
      </c>
      <c r="O71" s="82" t="n">
        <v>20.0</v>
      </c>
      <c r="P71" s="84" t="n">
        <v>15.3</v>
      </c>
      <c r="Q71" s="86" t="n">
        <v>13.8</v>
      </c>
      <c r="R71" s="88" t="n">
        <v>11.6</v>
      </c>
      <c r="S71" s="90" t="n">
        <v>24674.9</v>
      </c>
      <c r="T71" s="92" t="n">
        <v>20.0</v>
      </c>
      <c r="U71" s="94" t="n">
        <v>24724.9</v>
      </c>
      <c r="V71" s="96"/>
      <c r="W71" s="98">
        <f>IF(V71="","-",IF(V71&lt;=N71,R71,IF(V71&lt;K71,Q71,IF(V71&lt;I71,P71,O71))))</f>
        <v>0.0</v>
      </c>
      <c r="X71" s="100" t="inlineStr">
        <is>
          <t>Hayır</t>
        </is>
      </c>
      <c r="Y71" s="102"/>
      <c r="Z71" s="104" t="inlineStr">
        <is>
          <t>234868b12d51572262c80f465185356c</t>
        </is>
      </c>
    </row>
    <row r="72">
      <c r="A72" s="54" t="inlineStr">
        <is>
          <t>Alaves Hazeran Jüt Çay Seti Ceviz Ahşap,sütlü Kahve (1 ADET IKİLİ BERJER 1 ADET TEKLİ BERJER)</t>
        </is>
      </c>
      <c r="B72" s="56" t="inlineStr">
        <is>
          <t>00051997107</t>
        </is>
      </c>
      <c r="C72" s="58" t="inlineStr">
        <is>
          <t>1ÇYSZEM00112</t>
        </is>
      </c>
      <c r="D72" s="60" t="inlineStr">
        <is>
          <t>Tek Ebat</t>
        </is>
      </c>
      <c r="E72" s="62" t="inlineStr">
        <is>
          <t>ZEMALVS7</t>
        </is>
      </c>
      <c r="F72" s="64" t="inlineStr">
        <is>
          <t>Çay Seti Koltuk Takımı</t>
        </is>
      </c>
      <c r="G72" s="66" t="inlineStr">
        <is>
          <t>Zem</t>
        </is>
      </c>
      <c r="H72" s="68" t="n">
        <v>492.0</v>
      </c>
      <c r="I72" s="70" t="n">
        <v>13496.4</v>
      </c>
      <c r="J72" s="72" t="n">
        <v>13496.39</v>
      </c>
      <c r="K72" s="74" t="n">
        <v>12814.99</v>
      </c>
      <c r="L72" s="76" t="n">
        <v>12814.98</v>
      </c>
      <c r="M72" s="78" t="n">
        <v>11943.79</v>
      </c>
      <c r="N72" s="80" t="n">
        <v>11943.78</v>
      </c>
      <c r="O72" s="82" t="n">
        <v>20.0</v>
      </c>
      <c r="P72" s="84" t="n">
        <v>15.3</v>
      </c>
      <c r="Q72" s="86" t="n">
        <v>13.7</v>
      </c>
      <c r="R72" s="88" t="n">
        <v>11.4</v>
      </c>
      <c r="S72" s="90" t="n">
        <v>14399.9</v>
      </c>
      <c r="T72" s="92" t="n">
        <v>20.0</v>
      </c>
      <c r="U72" s="94" t="n">
        <v>14449.9</v>
      </c>
      <c r="V72" s="96"/>
      <c r="W72" s="98">
        <f>IF(V72="","-",IF(V72&lt;=N72,R72,IF(V72&lt;K72,Q72,IF(V72&lt;I72,P72,O72))))</f>
        <v>0.0</v>
      </c>
      <c r="X72" s="100" t="inlineStr">
        <is>
          <t>Hayır</t>
        </is>
      </c>
      <c r="Y72" s="102"/>
      <c r="Z72" s="104" t="inlineStr">
        <is>
          <t>234868b12d51572262c80f465185356c</t>
        </is>
      </c>
    </row>
    <row r="73">
      <c r="A73" s="54" t="inlineStr">
        <is>
          <t>Sevilla Bohem Üçlü Kanepe Natürel Ahşap, Kırık Beyaz</t>
        </is>
      </c>
      <c r="B73" s="56" t="inlineStr">
        <is>
          <t>00051997100</t>
        </is>
      </c>
      <c r="C73" s="58" t="inlineStr">
        <is>
          <t>1BRJZEM00206</t>
        </is>
      </c>
      <c r="D73" s="60" t="inlineStr">
        <is>
          <t>Tek Ebat</t>
        </is>
      </c>
      <c r="E73" s="62" t="inlineStr">
        <is>
          <t>ZEMSVL33</t>
        </is>
      </c>
      <c r="F73" s="64" t="inlineStr">
        <is>
          <t>Kanepe</t>
        </is>
      </c>
      <c r="G73" s="66" t="inlineStr">
        <is>
          <t>Zem</t>
        </is>
      </c>
      <c r="H73" s="68" t="n">
        <v>487.0</v>
      </c>
      <c r="I73" s="70" t="n">
        <v>12140.84</v>
      </c>
      <c r="J73" s="72" t="n">
        <v>12140.83</v>
      </c>
      <c r="K73" s="74" t="n">
        <v>11556.14</v>
      </c>
      <c r="L73" s="76" t="n">
        <v>11556.13</v>
      </c>
      <c r="M73" s="78" t="n">
        <v>10795.46</v>
      </c>
      <c r="N73" s="80" t="n">
        <v>10795.45</v>
      </c>
      <c r="O73" s="82" t="n">
        <v>19.0</v>
      </c>
      <c r="P73" s="84" t="n">
        <v>14.5</v>
      </c>
      <c r="Q73" s="86" t="n">
        <v>12.9</v>
      </c>
      <c r="R73" s="88" t="n">
        <v>10.7</v>
      </c>
      <c r="S73" s="90" t="n">
        <v>13249.9</v>
      </c>
      <c r="T73" s="92" t="n">
        <v>19.0</v>
      </c>
      <c r="U73" s="94" t="n">
        <v>13399.9</v>
      </c>
      <c r="V73" s="96"/>
      <c r="W73" s="98">
        <f>IF(V73="","-",IF(V73&lt;=N73,R73,IF(V73&lt;K73,Q73,IF(V73&lt;I73,P73,O73))))</f>
        <v>0.0</v>
      </c>
      <c r="X73" s="100" t="inlineStr">
        <is>
          <t>Hayır</t>
        </is>
      </c>
      <c r="Y73" s="102"/>
      <c r="Z73" s="104" t="inlineStr">
        <is>
          <t>234868b12d51572262c80f465185356c</t>
        </is>
      </c>
    </row>
    <row r="74">
      <c r="A74" s="54" t="inlineStr">
        <is>
          <t>Sevilla Bohem Üçlü Kanepe Natürel Ahşap, Gri</t>
        </is>
      </c>
      <c r="B74" s="56" t="inlineStr">
        <is>
          <t>0005199798</t>
        </is>
      </c>
      <c r="C74" s="58" t="inlineStr">
        <is>
          <t>1BRJZEM00167</t>
        </is>
      </c>
      <c r="D74" s="60" t="inlineStr">
        <is>
          <t>Tek Ebat</t>
        </is>
      </c>
      <c r="E74" s="62" t="inlineStr">
        <is>
          <t>ZEMSVL33</t>
        </is>
      </c>
      <c r="F74" s="64" t="inlineStr">
        <is>
          <t>Kanepe</t>
        </is>
      </c>
      <c r="G74" s="66" t="inlineStr">
        <is>
          <t>Zem</t>
        </is>
      </c>
      <c r="H74" s="68" t="n">
        <v>467.0</v>
      </c>
      <c r="I74" s="70" t="n">
        <v>12022.05</v>
      </c>
      <c r="J74" s="72" t="n">
        <v>12022.04</v>
      </c>
      <c r="K74" s="74" t="n">
        <v>11407.77</v>
      </c>
      <c r="L74" s="76" t="n">
        <v>11407.76</v>
      </c>
      <c r="M74" s="78" t="n">
        <v>10610.43</v>
      </c>
      <c r="N74" s="80" t="n">
        <v>10610.42</v>
      </c>
      <c r="O74" s="82" t="n">
        <v>19.0</v>
      </c>
      <c r="P74" s="84" t="n">
        <v>14.4</v>
      </c>
      <c r="Q74" s="86" t="n">
        <v>12.7</v>
      </c>
      <c r="R74" s="88" t="n">
        <v>10.3</v>
      </c>
      <c r="S74" s="90" t="n">
        <v>13249.9</v>
      </c>
      <c r="T74" s="92" t="n">
        <v>19.0</v>
      </c>
      <c r="U74" s="94" t="n">
        <v>13399.9</v>
      </c>
      <c r="V74" s="96"/>
      <c r="W74" s="98">
        <f>IF(V74="","-",IF(V74&lt;=N74,R74,IF(V74&lt;K74,Q74,IF(V74&lt;I74,P74,O74))))</f>
        <v>0.0</v>
      </c>
      <c r="X74" s="100" t="inlineStr">
        <is>
          <t>Hayır</t>
        </is>
      </c>
      <c r="Y74" s="102"/>
      <c r="Z74" s="104" t="inlineStr">
        <is>
          <t>234868b12d51572262c80f465185356c</t>
        </is>
      </c>
    </row>
    <row r="75">
      <c r="A75" s="54" t="inlineStr">
        <is>
          <t>Leones Bohem Ahşap Ayaklı Kanepe, Sütlü Kahve</t>
        </is>
      </c>
      <c r="B75" s="56" t="inlineStr">
        <is>
          <t>0005199794</t>
        </is>
      </c>
      <c r="C75" s="58" t="inlineStr">
        <is>
          <t>1KNPZEM00170</t>
        </is>
      </c>
      <c r="D75" s="60" t="inlineStr">
        <is>
          <t>Tek Ebat</t>
        </is>
      </c>
      <c r="E75" s="62" t="inlineStr">
        <is>
          <t>ZEMLEO</t>
        </is>
      </c>
      <c r="F75" s="64" t="inlineStr">
        <is>
          <t>Kanepe</t>
        </is>
      </c>
      <c r="G75" s="66" t="inlineStr">
        <is>
          <t>Zem</t>
        </is>
      </c>
      <c r="H75" s="68" t="n">
        <v>413.0</v>
      </c>
      <c r="I75" s="70" t="n">
        <v>14699.45</v>
      </c>
      <c r="J75" s="72" t="n">
        <v>14699.44</v>
      </c>
      <c r="K75" s="74" t="n">
        <v>14106.57</v>
      </c>
      <c r="L75" s="76" t="n">
        <v>14106.56</v>
      </c>
      <c r="M75" s="78" t="n">
        <v>13336.75</v>
      </c>
      <c r="N75" s="80" t="n">
        <v>13336.74</v>
      </c>
      <c r="O75" s="82" t="n">
        <v>19.0</v>
      </c>
      <c r="P75" s="84" t="n">
        <v>14.7</v>
      </c>
      <c r="Q75" s="86" t="n">
        <v>13.4</v>
      </c>
      <c r="R75" s="88" t="n">
        <v>11.6</v>
      </c>
      <c r="S75" s="90" t="n">
        <v>15599.9</v>
      </c>
      <c r="T75" s="92" t="n">
        <v>19.0</v>
      </c>
      <c r="U75" s="94" t="n">
        <v>15749.9</v>
      </c>
      <c r="V75" s="96"/>
      <c r="W75" s="98">
        <f>IF(V75="","-",IF(V75&lt;=N75,R75,IF(V75&lt;K75,Q75,IF(V75&lt;I75,P75,O75))))</f>
        <v>0.0</v>
      </c>
      <c r="X75" s="100" t="inlineStr">
        <is>
          <t>Hayır</t>
        </is>
      </c>
      <c r="Y75" s="102"/>
      <c r="Z75" s="104" t="inlineStr">
        <is>
          <t>234868b12d51572262c80f465185356c</t>
        </is>
      </c>
    </row>
    <row r="76">
      <c r="A76" s="54" t="inlineStr">
        <is>
          <t>Leones Bohem Ahşap Ayaklı Kanepe, Gri</t>
        </is>
      </c>
      <c r="B76" s="56" t="inlineStr">
        <is>
          <t>0005199792</t>
        </is>
      </c>
      <c r="C76" s="58" t="inlineStr">
        <is>
          <t>1KNPZEM00169</t>
        </is>
      </c>
      <c r="D76" s="60" t="inlineStr">
        <is>
          <t>Tek Ebat</t>
        </is>
      </c>
      <c r="E76" s="62" t="inlineStr">
        <is>
          <t>ZEMLEO</t>
        </is>
      </c>
      <c r="F76" s="64" t="inlineStr">
        <is>
          <t>Kanepe</t>
        </is>
      </c>
      <c r="G76" s="66" t="inlineStr">
        <is>
          <t>Zem</t>
        </is>
      </c>
      <c r="H76" s="68" t="n">
        <v>439.0</v>
      </c>
      <c r="I76" s="70" t="n">
        <v>14574.88</v>
      </c>
      <c r="J76" s="72" t="n">
        <v>14574.87</v>
      </c>
      <c r="K76" s="74" t="n">
        <v>13938.37</v>
      </c>
      <c r="L76" s="76" t="n">
        <v>13938.36</v>
      </c>
      <c r="M76" s="78" t="n">
        <v>13114.75</v>
      </c>
      <c r="N76" s="80" t="n">
        <v>13114.74</v>
      </c>
      <c r="O76" s="82" t="n">
        <v>19.0</v>
      </c>
      <c r="P76" s="84" t="n">
        <v>14.6</v>
      </c>
      <c r="Q76" s="86" t="n">
        <v>13.2</v>
      </c>
      <c r="R76" s="88" t="n">
        <v>11.2</v>
      </c>
      <c r="S76" s="90" t="n">
        <v>15599.9</v>
      </c>
      <c r="T76" s="92" t="n">
        <v>19.0</v>
      </c>
      <c r="U76" s="94" t="n">
        <v>15749.9</v>
      </c>
      <c r="V76" s="96"/>
      <c r="W76" s="98">
        <f>IF(V76="","-",IF(V76&lt;=N76,R76,IF(V76&lt;K76,Q76,IF(V76&lt;I76,P76,O76))))</f>
        <v>0.0</v>
      </c>
      <c r="X76" s="100" t="inlineStr">
        <is>
          <t>Hayır</t>
        </is>
      </c>
      <c r="Y76" s="102"/>
      <c r="Z76" s="104" t="inlineStr">
        <is>
          <t>234868b12d51572262c80f465185356c</t>
        </is>
      </c>
    </row>
    <row r="77">
      <c r="A77" s="54" t="inlineStr">
        <is>
          <t>Pavia Berjer Ceviz Ahşap, Hardal</t>
        </is>
      </c>
      <c r="B77" s="56" t="inlineStr">
        <is>
          <t>0005199750</t>
        </is>
      </c>
      <c r="C77" s="58" t="inlineStr">
        <is>
          <t>1BRJZEM00162</t>
        </is>
      </c>
      <c r="D77" s="60" t="inlineStr">
        <is>
          <t>Tek Ebat</t>
        </is>
      </c>
      <c r="E77" s="62" t="inlineStr">
        <is>
          <t>ZEMPCV</t>
        </is>
      </c>
      <c r="F77" s="64" t="inlineStr">
        <is>
          <t>Berjer</t>
        </is>
      </c>
      <c r="G77" s="66" t="inlineStr">
        <is>
          <t>Zem</t>
        </is>
      </c>
      <c r="H77" s="68" t="n">
        <v>489.0</v>
      </c>
      <c r="I77" s="70" t="n">
        <v>5292.41</v>
      </c>
      <c r="J77" s="72" t="n">
        <v>5292.4</v>
      </c>
      <c r="K77" s="74" t="n">
        <v>4974.04</v>
      </c>
      <c r="L77" s="76" t="n">
        <v>4974.03</v>
      </c>
      <c r="M77" s="78" t="n">
        <v>4571.58</v>
      </c>
      <c r="N77" s="80" t="n">
        <v>4571.57</v>
      </c>
      <c r="O77" s="82" t="n">
        <v>21.0</v>
      </c>
      <c r="P77" s="84" t="n">
        <v>15.9</v>
      </c>
      <c r="Q77" s="86" t="n">
        <v>14.0</v>
      </c>
      <c r="R77" s="88" t="n">
        <v>11.3</v>
      </c>
      <c r="S77" s="90" t="n">
        <v>6049.9</v>
      </c>
      <c r="T77" s="92" t="n">
        <v>21.0</v>
      </c>
      <c r="U77" s="94" t="n">
        <v>6099.9</v>
      </c>
      <c r="V77" s="96"/>
      <c r="W77" s="98">
        <f>IF(V77="","-",IF(V77&lt;=N77,R77,IF(V77&lt;K77,Q77,IF(V77&lt;I77,P77,O77))))</f>
        <v>0.0</v>
      </c>
      <c r="X77" s="100" t="inlineStr">
        <is>
          <t>Hayır</t>
        </is>
      </c>
      <c r="Y77" s="102"/>
      <c r="Z77" s="104" t="inlineStr">
        <is>
          <t>234868b12d51572262c80f465185356c</t>
        </is>
      </c>
    </row>
    <row r="78">
      <c r="A78" s="54" t="inlineStr">
        <is>
          <t>Tosca Bohem Berjer Ceviz Ahşap, Sütlü Kahve</t>
        </is>
      </c>
      <c r="B78" s="56" t="inlineStr">
        <is>
          <t>282019071907</t>
        </is>
      </c>
      <c r="C78" s="58" t="inlineStr">
        <is>
          <t>1BRJZEM00163</t>
        </is>
      </c>
      <c r="D78" s="60" t="inlineStr">
        <is>
          <t>Tek Ebat</t>
        </is>
      </c>
      <c r="E78" s="62" t="inlineStr">
        <is>
          <t>TSCCV</t>
        </is>
      </c>
      <c r="F78" s="64" t="inlineStr">
        <is>
          <t>Berjer</t>
        </is>
      </c>
      <c r="G78" s="66" t="inlineStr">
        <is>
          <t>Zem</t>
        </is>
      </c>
      <c r="H78" s="68" t="n">
        <v>418.0</v>
      </c>
      <c r="I78" s="70" t="n">
        <v>5182.86</v>
      </c>
      <c r="J78" s="72" t="n">
        <v>5182.85</v>
      </c>
      <c r="K78" s="74" t="n">
        <v>4909.16</v>
      </c>
      <c r="L78" s="76" t="n">
        <v>4909.15</v>
      </c>
      <c r="M78" s="78" t="n">
        <v>4560.76</v>
      </c>
      <c r="N78" s="80" t="n">
        <v>4560.75</v>
      </c>
      <c r="O78" s="82" t="n">
        <v>21.0</v>
      </c>
      <c r="P78" s="84" t="n">
        <v>16.1</v>
      </c>
      <c r="Q78" s="86" t="n">
        <v>14.5</v>
      </c>
      <c r="R78" s="88" t="n">
        <v>12.1</v>
      </c>
      <c r="S78" s="90" t="n">
        <v>5499.9</v>
      </c>
      <c r="T78" s="92" t="n">
        <v>21.0</v>
      </c>
      <c r="U78" s="94" t="n">
        <v>5549.9</v>
      </c>
      <c r="V78" s="96"/>
      <c r="W78" s="98">
        <f>IF(V78="","-",IF(V78&lt;=N78,R78,IF(V78&lt;K78,Q78,IF(V78&lt;I78,P78,O78))))</f>
        <v>0.0</v>
      </c>
      <c r="X78" s="100" t="inlineStr">
        <is>
          <t>Hayır</t>
        </is>
      </c>
      <c r="Y78" s="102"/>
      <c r="Z78" s="104" t="inlineStr">
        <is>
          <t>234868b12d51572262c80f465185356c</t>
        </is>
      </c>
    </row>
    <row r="79">
      <c r="A79" s="54" t="inlineStr">
        <is>
          <t>Tosca Bohem Berjer Ceviz Ahşap, Kırık Beyaz</t>
        </is>
      </c>
      <c r="B79" s="56" t="inlineStr">
        <is>
          <t>1907458528</t>
        </is>
      </c>
      <c r="C79" s="58" t="inlineStr">
        <is>
          <t>1BRJZEM00159</t>
        </is>
      </c>
      <c r="D79" s="60" t="inlineStr">
        <is>
          <t>Tek Ebat</t>
        </is>
      </c>
      <c r="E79" s="62" t="inlineStr">
        <is>
          <t>TSCCV</t>
        </is>
      </c>
      <c r="F79" s="64" t="inlineStr">
        <is>
          <t>Berjer</t>
        </is>
      </c>
      <c r="G79" s="66" t="inlineStr">
        <is>
          <t>Zem</t>
        </is>
      </c>
      <c r="H79" s="68" t="n">
        <v>459.0</v>
      </c>
      <c r="I79" s="70" t="n">
        <v>5077.56</v>
      </c>
      <c r="J79" s="72" t="n">
        <v>5077.55</v>
      </c>
      <c r="K79" s="74" t="n">
        <v>4788.03</v>
      </c>
      <c r="L79" s="76" t="n">
        <v>4788.02</v>
      </c>
      <c r="M79" s="78" t="n">
        <v>4416.68</v>
      </c>
      <c r="N79" s="80" t="n">
        <v>4416.67</v>
      </c>
      <c r="O79" s="82" t="n">
        <v>21.0</v>
      </c>
      <c r="P79" s="84" t="n">
        <v>15.9</v>
      </c>
      <c r="Q79" s="86" t="n">
        <v>14.2</v>
      </c>
      <c r="R79" s="88" t="n">
        <v>11.6</v>
      </c>
      <c r="S79" s="90" t="n">
        <v>5499.9</v>
      </c>
      <c r="T79" s="92" t="n">
        <v>21.0</v>
      </c>
      <c r="U79" s="94" t="n">
        <v>5549.9</v>
      </c>
      <c r="V79" s="96"/>
      <c r="W79" s="98">
        <f>IF(V79="","-",IF(V79&lt;=N79,R79,IF(V79&lt;K79,Q79,IF(V79&lt;I79,P79,O79))))</f>
        <v>0.0</v>
      </c>
      <c r="X79" s="100" t="inlineStr">
        <is>
          <t>Hayır</t>
        </is>
      </c>
      <c r="Y79" s="102"/>
      <c r="Z79" s="104" t="inlineStr">
        <is>
          <t>234868b12d51572262c80f465185356c</t>
        </is>
      </c>
    </row>
    <row r="80">
      <c r="A80" s="54" t="inlineStr">
        <is>
          <t>Tosca Bohem Berjer Ceviz Ahşap , Gri</t>
        </is>
      </c>
      <c r="B80" s="56" t="inlineStr">
        <is>
          <t>1907458529</t>
        </is>
      </c>
      <c r="C80" s="58" t="inlineStr">
        <is>
          <t>1BRJZEM00157</t>
        </is>
      </c>
      <c r="D80" s="60" t="inlineStr">
        <is>
          <t>Tek Ebat</t>
        </is>
      </c>
      <c r="E80" s="62" t="inlineStr">
        <is>
          <t>TSCCV</t>
        </is>
      </c>
      <c r="F80" s="64" t="inlineStr">
        <is>
          <t>Berjer</t>
        </is>
      </c>
      <c r="G80" s="66" t="inlineStr">
        <is>
          <t>Zem</t>
        </is>
      </c>
      <c r="H80" s="68" t="n">
        <v>485.0</v>
      </c>
      <c r="I80" s="70" t="n">
        <v>5097.28</v>
      </c>
      <c r="J80" s="72" t="n">
        <v>5097.27</v>
      </c>
      <c r="K80" s="74" t="n">
        <v>4829.09</v>
      </c>
      <c r="L80" s="76" t="n">
        <v>4829.08</v>
      </c>
      <c r="M80" s="78" t="n">
        <v>4482.13</v>
      </c>
      <c r="N80" s="80" t="n">
        <v>4482.12</v>
      </c>
      <c r="O80" s="82" t="n">
        <v>21.0</v>
      </c>
      <c r="P80" s="84" t="n">
        <v>16.0</v>
      </c>
      <c r="Q80" s="86" t="n">
        <v>14.4</v>
      </c>
      <c r="R80" s="88" t="n">
        <v>12.0</v>
      </c>
      <c r="S80" s="90" t="n">
        <v>5499.9</v>
      </c>
      <c r="T80" s="92" t="n">
        <v>21.0</v>
      </c>
      <c r="U80" s="94" t="n">
        <v>5549.9</v>
      </c>
      <c r="V80" s="96"/>
      <c r="W80" s="98">
        <f>IF(V80="","-",IF(V80&lt;=N80,R80,IF(V80&lt;K80,Q80,IF(V80&lt;I80,P80,O80))))</f>
        <v>0.0</v>
      </c>
      <c r="X80" s="100" t="inlineStr">
        <is>
          <t>Hayır</t>
        </is>
      </c>
      <c r="Y80" s="102"/>
      <c r="Z80" s="104" t="inlineStr">
        <is>
          <t>234868b12d51572262c80f465185356c</t>
        </is>
      </c>
    </row>
    <row r="81">
      <c r="A81" s="54" t="inlineStr">
        <is>
          <t>Leones Bohem Ahşap Ayaklı Kanepe, Kırık Beyaz</t>
        </is>
      </c>
      <c r="B81" s="56" t="inlineStr">
        <is>
          <t>4519071909005</t>
        </is>
      </c>
      <c r="C81" s="58" t="inlineStr">
        <is>
          <t>1KNPZEM00168</t>
        </is>
      </c>
      <c r="D81" s="60" t="inlineStr">
        <is>
          <t>Tek Ebat</t>
        </is>
      </c>
      <c r="E81" s="62" t="inlineStr">
        <is>
          <t>ZEMLEO</t>
        </is>
      </c>
      <c r="F81" s="64" t="inlineStr">
        <is>
          <t>Kanepe</t>
        </is>
      </c>
      <c r="G81" s="66" t="inlineStr">
        <is>
          <t>Zem</t>
        </is>
      </c>
      <c r="H81" s="68" t="n">
        <v>356.0</v>
      </c>
      <c r="I81" s="70" t="n">
        <v>14328.8</v>
      </c>
      <c r="J81" s="72" t="n">
        <v>14328.79</v>
      </c>
      <c r="K81" s="74" t="n">
        <v>13542.26</v>
      </c>
      <c r="L81" s="76" t="n">
        <v>13542.25</v>
      </c>
      <c r="M81" s="78" t="n">
        <v>12529.16</v>
      </c>
      <c r="N81" s="80" t="n">
        <v>12529.15</v>
      </c>
      <c r="O81" s="82" t="n">
        <v>19.0</v>
      </c>
      <c r="P81" s="84" t="n">
        <v>14.3</v>
      </c>
      <c r="Q81" s="86" t="n">
        <v>12.5</v>
      </c>
      <c r="R81" s="88" t="n">
        <v>9.9</v>
      </c>
      <c r="S81" s="90" t="n">
        <v>15599.9</v>
      </c>
      <c r="T81" s="92" t="n">
        <v>19.0</v>
      </c>
      <c r="U81" s="94" t="n">
        <v>15749.9</v>
      </c>
      <c r="V81" s="96"/>
      <c r="W81" s="98">
        <f>IF(V81="","-",IF(V81&lt;=N81,R81,IF(V81&lt;K81,Q81,IF(V81&lt;I81,P81,O81))))</f>
        <v>0.0</v>
      </c>
      <c r="X81" s="100" t="inlineStr">
        <is>
          <t>Hayır</t>
        </is>
      </c>
      <c r="Y81" s="102"/>
      <c r="Z81" s="104" t="inlineStr">
        <is>
          <t>234868b12d51572262c80f465185356c</t>
        </is>
      </c>
    </row>
    <row r="82">
      <c r="A82" s="54" t="inlineStr">
        <is>
          <t>Bahama Bohem Ahşap Berjer, Açık Krem</t>
        </is>
      </c>
      <c r="B82" s="56" t="inlineStr">
        <is>
          <t>1907200057</t>
        </is>
      </c>
      <c r="C82" s="58" t="inlineStr">
        <is>
          <t>1BRJZEM00160</t>
        </is>
      </c>
      <c r="D82" s="60" t="inlineStr">
        <is>
          <t>Tek Ebat</t>
        </is>
      </c>
      <c r="E82" s="62" t="inlineStr">
        <is>
          <t>ZEMBHM</t>
        </is>
      </c>
      <c r="F82" s="64" t="inlineStr">
        <is>
          <t>Berjer</t>
        </is>
      </c>
      <c r="G82" s="66" t="inlineStr">
        <is>
          <t>Zem</t>
        </is>
      </c>
      <c r="H82" s="68" t="n">
        <v>482.0</v>
      </c>
      <c r="I82" s="70" t="n">
        <v>5556.83</v>
      </c>
      <c r="J82" s="72" t="n">
        <v>5556.82</v>
      </c>
      <c r="K82" s="74" t="n">
        <v>5240.25</v>
      </c>
      <c r="L82" s="76" t="n">
        <v>5240.24</v>
      </c>
      <c r="M82" s="78" t="n">
        <v>4832.74</v>
      </c>
      <c r="N82" s="80" t="n">
        <v>4832.73</v>
      </c>
      <c r="O82" s="82" t="n">
        <v>21.0</v>
      </c>
      <c r="P82" s="84" t="n">
        <v>15.9</v>
      </c>
      <c r="Q82" s="86" t="n">
        <v>14.2</v>
      </c>
      <c r="R82" s="88" t="n">
        <v>11.6</v>
      </c>
      <c r="S82" s="90" t="n">
        <v>6049.9</v>
      </c>
      <c r="T82" s="92" t="n">
        <v>21.0</v>
      </c>
      <c r="U82" s="94" t="n">
        <v>6099.9</v>
      </c>
      <c r="V82" s="96"/>
      <c r="W82" s="98">
        <f>IF(V82="","-",IF(V82&lt;=N82,R82,IF(V82&lt;K82,Q82,IF(V82&lt;I82,P82,O82))))</f>
        <v>0.0</v>
      </c>
      <c r="X82" s="100" t="inlineStr">
        <is>
          <t>Hayır</t>
        </is>
      </c>
      <c r="Y82" s="102"/>
      <c r="Z82" s="104" t="inlineStr">
        <is>
          <t>234868b12d51572262c80f465185356c</t>
        </is>
      </c>
    </row>
    <row r="83">
      <c r="A83" s="54" t="inlineStr">
        <is>
          <t>Bahama Bohem Ahşap Berjer, Kahverengi Kazayağı Desenli</t>
        </is>
      </c>
      <c r="B83" s="56" t="inlineStr">
        <is>
          <t>19072000560</t>
        </is>
      </c>
      <c r="C83" s="58" t="inlineStr">
        <is>
          <t>1BRJZEM00155</t>
        </is>
      </c>
      <c r="D83" s="60" t="inlineStr">
        <is>
          <t>Tek Ebat</t>
        </is>
      </c>
      <c r="E83" s="62" t="inlineStr">
        <is>
          <t>ZEMBHM</t>
        </is>
      </c>
      <c r="F83" s="64" t="inlineStr">
        <is>
          <t>Berjer</t>
        </is>
      </c>
      <c r="G83" s="66" t="inlineStr">
        <is>
          <t>Zem</t>
        </is>
      </c>
      <c r="H83" s="68" t="n">
        <v>460.0</v>
      </c>
      <c r="I83" s="70" t="n">
        <v>5625.86</v>
      </c>
      <c r="J83" s="72" t="n">
        <v>5625.85</v>
      </c>
      <c r="K83" s="74" t="n">
        <v>5346.23</v>
      </c>
      <c r="L83" s="76" t="n">
        <v>5346.22</v>
      </c>
      <c r="M83" s="78" t="n">
        <v>4987.16</v>
      </c>
      <c r="N83" s="80" t="n">
        <v>4987.15</v>
      </c>
      <c r="O83" s="82" t="n">
        <v>21.0</v>
      </c>
      <c r="P83" s="84" t="n">
        <v>16.1</v>
      </c>
      <c r="Q83" s="86" t="n">
        <v>14.6</v>
      </c>
      <c r="R83" s="88" t="n">
        <v>12.4</v>
      </c>
      <c r="S83" s="90" t="n">
        <v>5949.0</v>
      </c>
      <c r="T83" s="92" t="n">
        <v>21.0</v>
      </c>
      <c r="U83" s="94" t="n">
        <v>5999.0</v>
      </c>
      <c r="V83" s="96"/>
      <c r="W83" s="98">
        <f>IF(V83="","-",IF(V83&lt;=N83,R83,IF(V83&lt;K83,Q83,IF(V83&lt;I83,P83,O83))))</f>
        <v>0.0</v>
      </c>
      <c r="X83" s="100" t="inlineStr">
        <is>
          <t>Hayır</t>
        </is>
      </c>
      <c r="Y83" s="102"/>
      <c r="Z83" s="104" t="inlineStr">
        <is>
          <t>234868b12d51572262c80f465185356c</t>
        </is>
      </c>
    </row>
    <row r="84">
      <c r="A84" s="54" t="inlineStr">
        <is>
          <t>Bahama Bohem Ahşap Berjer, Siyah Kazayağı Desenli</t>
        </is>
      </c>
      <c r="B84" s="56" t="inlineStr">
        <is>
          <t>1907200512</t>
        </is>
      </c>
      <c r="C84" s="58" t="inlineStr">
        <is>
          <t>1BRJZEM00193</t>
        </is>
      </c>
      <c r="D84" s="60" t="inlineStr">
        <is>
          <t>Tek Ebat</t>
        </is>
      </c>
      <c r="E84" s="62" t="inlineStr">
        <is>
          <t>ZEMBHM</t>
        </is>
      </c>
      <c r="F84" s="64" t="inlineStr">
        <is>
          <t>Berjer</t>
        </is>
      </c>
      <c r="G84" s="66" t="inlineStr">
        <is>
          <t>Zem</t>
        </is>
      </c>
      <c r="H84" s="68" t="n">
        <v>500.0</v>
      </c>
      <c r="I84" s="70" t="n">
        <v>5636.54</v>
      </c>
      <c r="J84" s="72" t="n">
        <v>5636.53</v>
      </c>
      <c r="K84" s="74" t="n">
        <v>5340.9</v>
      </c>
      <c r="L84" s="76" t="n">
        <v>5340.89</v>
      </c>
      <c r="M84" s="78" t="n">
        <v>4961.83</v>
      </c>
      <c r="N84" s="80" t="n">
        <v>4961.82</v>
      </c>
      <c r="O84" s="82" t="n">
        <v>21.0</v>
      </c>
      <c r="P84" s="84" t="n">
        <v>16.1</v>
      </c>
      <c r="Q84" s="86" t="n">
        <v>14.4</v>
      </c>
      <c r="R84" s="88" t="n">
        <v>12.1</v>
      </c>
      <c r="S84" s="90" t="n">
        <v>6049.9</v>
      </c>
      <c r="T84" s="92" t="n">
        <v>21.0</v>
      </c>
      <c r="U84" s="94" t="n">
        <v>6099.9</v>
      </c>
      <c r="V84" s="96"/>
      <c r="W84" s="98">
        <f>IF(V84="","-",IF(V84&lt;=N84,R84,IF(V84&lt;K84,Q84,IF(V84&lt;I84,P84,O84))))</f>
        <v>0.0</v>
      </c>
      <c r="X84" s="100" t="inlineStr">
        <is>
          <t>Hayır</t>
        </is>
      </c>
      <c r="Y84" s="102"/>
      <c r="Z84" s="104" t="inlineStr">
        <is>
          <t>234868b12d51572262c80f465185356c</t>
        </is>
      </c>
    </row>
    <row r="85">
      <c r="A85" s="54" t="inlineStr">
        <is>
          <t>Bahama Bohem Ahşap Berjer, Gri</t>
        </is>
      </c>
      <c r="B85" s="56" t="inlineStr">
        <is>
          <t>19072000945</t>
        </is>
      </c>
      <c r="C85" s="58" t="inlineStr">
        <is>
          <t>1BRJZEM00154</t>
        </is>
      </c>
      <c r="D85" s="60" t="inlineStr">
        <is>
          <t>Tek Ebat</t>
        </is>
      </c>
      <c r="E85" s="62" t="inlineStr">
        <is>
          <t>ZEMBHM</t>
        </is>
      </c>
      <c r="F85" s="64" t="inlineStr">
        <is>
          <t>Berjer</t>
        </is>
      </c>
      <c r="G85" s="66" t="inlineStr">
        <is>
          <t>Zem</t>
        </is>
      </c>
      <c r="H85" s="68" t="n">
        <v>492.0</v>
      </c>
      <c r="I85" s="70" t="n">
        <v>5568.19</v>
      </c>
      <c r="J85" s="72" t="n">
        <v>5568.18</v>
      </c>
      <c r="K85" s="74" t="n">
        <v>5286.44</v>
      </c>
      <c r="L85" s="76" t="n">
        <v>5286.43</v>
      </c>
      <c r="M85" s="78" t="n">
        <v>4921.25</v>
      </c>
      <c r="N85" s="80" t="n">
        <v>4921.24</v>
      </c>
      <c r="O85" s="82" t="n">
        <v>21.0</v>
      </c>
      <c r="P85" s="84" t="n">
        <v>16.1</v>
      </c>
      <c r="Q85" s="86" t="n">
        <v>14.5</v>
      </c>
      <c r="R85" s="88" t="n">
        <v>12.3</v>
      </c>
      <c r="S85" s="90" t="n">
        <v>6049.9</v>
      </c>
      <c r="T85" s="92" t="n">
        <v>21.0</v>
      </c>
      <c r="U85" s="94" t="n">
        <v>6099.9</v>
      </c>
      <c r="V85" s="96"/>
      <c r="W85" s="98">
        <f>IF(V85="","-",IF(V85&lt;=N85,R85,IF(V85&lt;K85,Q85,IF(V85&lt;I85,P85,O85))))</f>
        <v>0.0</v>
      </c>
      <c r="X85" s="100" t="inlineStr">
        <is>
          <t>Hayır</t>
        </is>
      </c>
      <c r="Y85" s="102"/>
      <c r="Z85" s="104" t="inlineStr">
        <is>
          <t>234868b12d51572262c80f465185356c</t>
        </is>
      </c>
    </row>
    <row r="86">
      <c r="A86" s="54" t="inlineStr">
        <is>
          <t>Modica Bench, Gri</t>
        </is>
      </c>
      <c r="B86" s="56" t="inlineStr">
        <is>
          <t>19072000015</t>
        </is>
      </c>
      <c r="C86" s="58" t="inlineStr">
        <is>
          <t>1BRJZEM00143</t>
        </is>
      </c>
      <c r="D86" s="60" t="inlineStr">
        <is>
          <t>Tek Ebat</t>
        </is>
      </c>
      <c r="E86" s="62" t="inlineStr">
        <is>
          <t>ZEMMDC</t>
        </is>
      </c>
      <c r="F86" s="64" t="inlineStr">
        <is>
          <t>Puf &amp; Bench</t>
        </is>
      </c>
      <c r="G86" s="66" t="inlineStr">
        <is>
          <t>Zem</t>
        </is>
      </c>
      <c r="H86" s="68" t="n">
        <v>446.0</v>
      </c>
      <c r="I86" s="70" t="n">
        <v>2601.01</v>
      </c>
      <c r="J86" s="72" t="n">
        <v>2601.0</v>
      </c>
      <c r="K86" s="74" t="n">
        <v>2413.84</v>
      </c>
      <c r="L86" s="76" t="n">
        <v>2413.83</v>
      </c>
      <c r="M86" s="78" t="n">
        <v>2176.43</v>
      </c>
      <c r="N86" s="80" t="n">
        <v>2176.42</v>
      </c>
      <c r="O86" s="82" t="n">
        <v>21.0</v>
      </c>
      <c r="P86" s="84" t="n">
        <v>15.6</v>
      </c>
      <c r="Q86" s="86" t="n">
        <v>13.3</v>
      </c>
      <c r="R86" s="88" t="n">
        <v>9.8</v>
      </c>
      <c r="S86" s="90" t="n">
        <v>2974.9</v>
      </c>
      <c r="T86" s="92" t="n">
        <v>21.0</v>
      </c>
      <c r="U86" s="94" t="n">
        <v>2999.9</v>
      </c>
      <c r="V86" s="96"/>
      <c r="W86" s="98">
        <f>IF(V86="","-",IF(V86&lt;=N86,R86,IF(V86&lt;K86,Q86,IF(V86&lt;I86,P86,O86))))</f>
        <v>0.0</v>
      </c>
      <c r="X86" s="100" t="inlineStr">
        <is>
          <t>Hayır</t>
        </is>
      </c>
      <c r="Y86" s="102"/>
      <c r="Z86" s="104" t="inlineStr">
        <is>
          <t>234868b12d51572262c80f465185356c</t>
        </is>
      </c>
    </row>
    <row r="87">
      <c r="A87" s="54" t="inlineStr">
        <is>
          <t>Contes Bohem Sandıklı Orta Sehpa Puf/Bench , Gri</t>
        </is>
      </c>
      <c r="B87" s="56" t="inlineStr">
        <is>
          <t>45190702000</t>
        </is>
      </c>
      <c r="C87" s="58" t="inlineStr">
        <is>
          <t>1BNCZEM00093</t>
        </is>
      </c>
      <c r="D87" s="60" t="inlineStr">
        <is>
          <t>Tek Ebat</t>
        </is>
      </c>
      <c r="E87" s="62" t="inlineStr">
        <is>
          <t>ZEMCNTS</t>
        </is>
      </c>
      <c r="F87" s="64" t="inlineStr">
        <is>
          <t>Puf &amp; Bench</t>
        </is>
      </c>
      <c r="G87" s="66" t="inlineStr">
        <is>
          <t>Zem</t>
        </is>
      </c>
      <c r="H87" s="68" t="n">
        <v>971.0</v>
      </c>
      <c r="I87" s="70" t="n">
        <v>2642.13</v>
      </c>
      <c r="J87" s="72" t="n">
        <v>2642.12</v>
      </c>
      <c r="K87" s="74" t="n">
        <v>2489.92</v>
      </c>
      <c r="L87" s="76" t="n">
        <v>2489.91</v>
      </c>
      <c r="M87" s="78" t="n">
        <v>2294.63</v>
      </c>
      <c r="N87" s="80" t="n">
        <v>2294.62</v>
      </c>
      <c r="O87" s="82" t="n">
        <v>21.0</v>
      </c>
      <c r="P87" s="84" t="n">
        <v>15.9</v>
      </c>
      <c r="Q87" s="86" t="n">
        <v>14.1</v>
      </c>
      <c r="R87" s="88" t="n">
        <v>11.5</v>
      </c>
      <c r="S87" s="90" t="n">
        <v>2924.9</v>
      </c>
      <c r="T87" s="92" t="n">
        <v>21.0</v>
      </c>
      <c r="U87" s="94" t="n">
        <v>2949.9</v>
      </c>
      <c r="V87" s="96"/>
      <c r="W87" s="98">
        <f>IF(V87="","-",IF(V87&lt;=N87,R87,IF(V87&lt;K87,Q87,IF(V87&lt;I87,P87,O87))))</f>
        <v>0.0</v>
      </c>
      <c r="X87" s="100" t="inlineStr">
        <is>
          <t>Hayır</t>
        </is>
      </c>
      <c r="Y87" s="102"/>
      <c r="Z87" s="104" t="inlineStr">
        <is>
          <t>234868b12d51572262c80f465185356c</t>
        </is>
      </c>
    </row>
    <row r="88">
      <c r="A88" s="54" t="inlineStr">
        <is>
          <t>Jarvis Bohem Sandıklı Orta Sehpa Puf, Gri</t>
        </is>
      </c>
      <c r="B88" s="56" t="inlineStr">
        <is>
          <t>190746056084</t>
        </is>
      </c>
      <c r="C88" s="58" t="inlineStr">
        <is>
          <t>1PUFZEM00612</t>
        </is>
      </c>
      <c r="D88" s="60" t="inlineStr">
        <is>
          <t>Tek Ebat</t>
        </is>
      </c>
      <c r="E88" s="62" t="inlineStr">
        <is>
          <t>ZEMJRV</t>
        </is>
      </c>
      <c r="F88" s="64" t="inlineStr">
        <is>
          <t>Puf &amp; Bench</t>
        </is>
      </c>
      <c r="G88" s="66" t="inlineStr">
        <is>
          <t>Zem</t>
        </is>
      </c>
      <c r="H88" s="68" t="n">
        <v>981.0</v>
      </c>
      <c r="I88" s="70" t="n">
        <v>1650.03</v>
      </c>
      <c r="J88" s="72" t="n">
        <v>1650.02</v>
      </c>
      <c r="K88" s="74" t="n">
        <v>1552.09</v>
      </c>
      <c r="L88" s="76" t="n">
        <v>1552.08</v>
      </c>
      <c r="M88" s="78" t="n">
        <v>1426.88</v>
      </c>
      <c r="N88" s="80" t="n">
        <v>1426.87</v>
      </c>
      <c r="O88" s="82" t="n">
        <v>21.0</v>
      </c>
      <c r="P88" s="84" t="n">
        <v>15.9</v>
      </c>
      <c r="Q88" s="86" t="n">
        <v>14.0</v>
      </c>
      <c r="R88" s="88" t="n">
        <v>11.3</v>
      </c>
      <c r="S88" s="90" t="n">
        <v>1819.9</v>
      </c>
      <c r="T88" s="92" t="n">
        <v>21.0</v>
      </c>
      <c r="U88" s="94" t="n">
        <v>1819.9</v>
      </c>
      <c r="V88" s="96"/>
      <c r="W88" s="98">
        <f>IF(V88="","-",IF(V88&lt;=N88,R88,IF(V88&lt;K88,Q88,IF(V88&lt;I88,P88,O88))))</f>
        <v>0.0</v>
      </c>
      <c r="X88" s="100" t="inlineStr">
        <is>
          <t>Hayır</t>
        </is>
      </c>
      <c r="Y88" s="102"/>
      <c r="Z88" s="104" t="inlineStr">
        <is>
          <t>234868b12d51572262c80f465185356c</t>
        </is>
      </c>
    </row>
    <row r="89">
      <c r="A89" s="54" t="inlineStr">
        <is>
          <t>Hippi Deri Puf, Yeşil</t>
        </is>
      </c>
      <c r="B89" s="56" t="inlineStr">
        <is>
          <t>19074520000</t>
        </is>
      </c>
      <c r="C89" s="58" t="inlineStr">
        <is>
          <t>1PUFZEM00617</t>
        </is>
      </c>
      <c r="D89" s="60" t="inlineStr">
        <is>
          <t>Tek Ebat</t>
        </is>
      </c>
      <c r="E89" s="62" t="inlineStr">
        <is>
          <t>TYC00468831285</t>
        </is>
      </c>
      <c r="F89" s="64" t="inlineStr">
        <is>
          <t>Puf &amp; Bench</t>
        </is>
      </c>
      <c r="G89" s="66" t="inlineStr">
        <is>
          <t>Zem</t>
        </is>
      </c>
      <c r="H89" s="68" t="n">
        <v>493.0</v>
      </c>
      <c r="I89" s="70" t="n">
        <v>5491.71</v>
      </c>
      <c r="J89" s="72" t="n">
        <v>5491.7</v>
      </c>
      <c r="K89" s="74" t="n">
        <v>5124.42</v>
      </c>
      <c r="L89" s="76" t="n">
        <v>5124.41</v>
      </c>
      <c r="M89" s="78" t="n">
        <v>4658.62</v>
      </c>
      <c r="N89" s="80" t="n">
        <v>4658.61</v>
      </c>
      <c r="O89" s="82" t="n">
        <v>21.0</v>
      </c>
      <c r="P89" s="84" t="n">
        <v>15.7</v>
      </c>
      <c r="Q89" s="86" t="n">
        <v>13.6</v>
      </c>
      <c r="R89" s="88" t="n">
        <v>10.5</v>
      </c>
      <c r="S89" s="90" t="n">
        <v>6049.9</v>
      </c>
      <c r="T89" s="92" t="n">
        <v>21.0</v>
      </c>
      <c r="U89" s="94" t="n">
        <v>6099.9</v>
      </c>
      <c r="V89" s="96"/>
      <c r="W89" s="98">
        <f>IF(V89="","-",IF(V89&lt;=N89,R89,IF(V89&lt;K89,Q89,IF(V89&lt;I89,P89,O89))))</f>
        <v>0.0</v>
      </c>
      <c r="X89" s="100" t="inlineStr">
        <is>
          <t>Hayır</t>
        </is>
      </c>
      <c r="Y89" s="102"/>
      <c r="Z89" s="104" t="inlineStr">
        <is>
          <t>234868b12d51572262c80f465185356c</t>
        </is>
      </c>
    </row>
    <row r="90">
      <c r="A90" s="54" t="inlineStr">
        <is>
          <t>Contes Bohem Sandıklı Orta Sehpa Puf/bench, Kırık Beyaz</t>
        </is>
      </c>
      <c r="B90" s="56" t="inlineStr">
        <is>
          <t>4579019075235</t>
        </is>
      </c>
      <c r="C90" s="58" t="inlineStr">
        <is>
          <t>1PUFZEM00608</t>
        </is>
      </c>
      <c r="D90" s="60" t="inlineStr">
        <is>
          <t>Tek Ebat</t>
        </is>
      </c>
      <c r="E90" s="62" t="inlineStr">
        <is>
          <t>ZEMCNTS</t>
        </is>
      </c>
      <c r="F90" s="64" t="inlineStr">
        <is>
          <t>Puf &amp; Bench</t>
        </is>
      </c>
      <c r="G90" s="66" t="inlineStr">
        <is>
          <t>Zem</t>
        </is>
      </c>
      <c r="H90" s="68" t="n">
        <v>815.0</v>
      </c>
      <c r="I90" s="70" t="n">
        <v>2636.23</v>
      </c>
      <c r="J90" s="72" t="n">
        <v>2636.22</v>
      </c>
      <c r="K90" s="74" t="n">
        <v>2476.0</v>
      </c>
      <c r="L90" s="76" t="n">
        <v>2475.99</v>
      </c>
      <c r="M90" s="78" t="n">
        <v>2271.1</v>
      </c>
      <c r="N90" s="80" t="n">
        <v>2271.09</v>
      </c>
      <c r="O90" s="82" t="n">
        <v>21.0</v>
      </c>
      <c r="P90" s="84" t="n">
        <v>15.8</v>
      </c>
      <c r="Q90" s="86" t="n">
        <v>13.9</v>
      </c>
      <c r="R90" s="88" t="n">
        <v>11.1</v>
      </c>
      <c r="S90" s="90" t="n">
        <v>2924.9</v>
      </c>
      <c r="T90" s="92" t="n">
        <v>21.0</v>
      </c>
      <c r="U90" s="94" t="n">
        <v>2949.9</v>
      </c>
      <c r="V90" s="96"/>
      <c r="W90" s="98">
        <f>IF(V90="","-",IF(V90&lt;=N90,R90,IF(V90&lt;K90,Q90,IF(V90&lt;I90,P90,O90))))</f>
        <v>0.0</v>
      </c>
      <c r="X90" s="100" t="inlineStr">
        <is>
          <t>Hayır</t>
        </is>
      </c>
      <c r="Y90" s="102"/>
      <c r="Z90" s="104" t="inlineStr">
        <is>
          <t>234868b12d51572262c80f465185356c</t>
        </is>
      </c>
    </row>
    <row r="91">
      <c r="A91" s="54" t="inlineStr">
        <is>
          <t>Orso Bohem Sandıklı Puf, Kırık Beyaz</t>
        </is>
      </c>
      <c r="B91" s="56" t="inlineStr">
        <is>
          <t>197831450325</t>
        </is>
      </c>
      <c r="C91" s="58" t="inlineStr">
        <is>
          <t>1PUFZEM00611</t>
        </is>
      </c>
      <c r="D91" s="60" t="inlineStr">
        <is>
          <t>Tek Ebat</t>
        </is>
      </c>
      <c r="E91" s="62" t="inlineStr">
        <is>
          <t>ZEMOR</t>
        </is>
      </c>
      <c r="F91" s="64" t="inlineStr">
        <is>
          <t>Puf &amp; Bench</t>
        </is>
      </c>
      <c r="G91" s="66" t="inlineStr">
        <is>
          <t>Zem</t>
        </is>
      </c>
      <c r="H91" s="68" t="n">
        <v>996.0</v>
      </c>
      <c r="I91" s="70" t="n">
        <v>1881.03</v>
      </c>
      <c r="J91" s="72" t="n">
        <v>1881.02</v>
      </c>
      <c r="K91" s="74" t="n">
        <v>1755.38</v>
      </c>
      <c r="L91" s="76" t="n">
        <v>1755.37</v>
      </c>
      <c r="M91" s="78" t="n">
        <v>1595.89</v>
      </c>
      <c r="N91" s="80" t="n">
        <v>1595.88</v>
      </c>
      <c r="O91" s="82" t="n">
        <v>21.0</v>
      </c>
      <c r="P91" s="84" t="n">
        <v>15.7</v>
      </c>
      <c r="Q91" s="86" t="n">
        <v>13.6</v>
      </c>
      <c r="R91" s="88" t="n">
        <v>10.5</v>
      </c>
      <c r="S91" s="90" t="n">
        <v>1994.9</v>
      </c>
      <c r="T91" s="92" t="n">
        <v>21.0</v>
      </c>
      <c r="U91" s="94" t="n">
        <v>2069.9</v>
      </c>
      <c r="V91" s="96"/>
      <c r="W91" s="98">
        <f>IF(V91="","-",IF(V91&lt;=N91,R91,IF(V91&lt;K91,Q91,IF(V91&lt;I91,P91,O91))))</f>
        <v>0.0</v>
      </c>
      <c r="X91" s="100" t="inlineStr">
        <is>
          <t>Hayır</t>
        </is>
      </c>
      <c r="Y91" s="102"/>
      <c r="Z91" s="104" t="inlineStr">
        <is>
          <t>234868b12d51572262c80f465185356c</t>
        </is>
      </c>
    </row>
    <row r="92">
      <c r="A92" s="54" t="inlineStr">
        <is>
          <t>Scala Sandıklı Bohem Ahşap Ayaklı Puf/bench, Kırık Beyaz</t>
        </is>
      </c>
      <c r="B92" s="56" t="inlineStr">
        <is>
          <t>45190950360</t>
        </is>
      </c>
      <c r="C92" s="58" t="inlineStr">
        <is>
          <t>1BNCZEM00088</t>
        </is>
      </c>
      <c r="D92" s="60" t="inlineStr">
        <is>
          <t>Tek Ebat</t>
        </is>
      </c>
      <c r="E92" s="62" t="inlineStr">
        <is>
          <t>ZEMSCL</t>
        </is>
      </c>
      <c r="F92" s="64" t="inlineStr">
        <is>
          <t>Puf &amp; Bench</t>
        </is>
      </c>
      <c r="G92" s="66" t="inlineStr">
        <is>
          <t>Zem</t>
        </is>
      </c>
      <c r="H92" s="68" t="n">
        <v>801.0</v>
      </c>
      <c r="I92" s="70" t="n">
        <v>2333.95</v>
      </c>
      <c r="J92" s="72" t="n">
        <v>2333.94</v>
      </c>
      <c r="K92" s="74" t="n">
        <v>2185.69</v>
      </c>
      <c r="L92" s="76" t="n">
        <v>2185.68</v>
      </c>
      <c r="M92" s="78" t="n">
        <v>1996.52</v>
      </c>
      <c r="N92" s="80" t="n">
        <v>1996.51</v>
      </c>
      <c r="O92" s="82" t="n">
        <v>21.0</v>
      </c>
      <c r="P92" s="84" t="n">
        <v>15.8</v>
      </c>
      <c r="Q92" s="86" t="n">
        <v>13.8</v>
      </c>
      <c r="R92" s="88" t="n">
        <v>10.8</v>
      </c>
      <c r="S92" s="90" t="n">
        <v>2654.9</v>
      </c>
      <c r="T92" s="92" t="n">
        <v>21.0</v>
      </c>
      <c r="U92" s="94" t="n">
        <v>2679.9</v>
      </c>
      <c r="V92" s="96"/>
      <c r="W92" s="98">
        <f>IF(V92="","-",IF(V92&lt;=N92,R92,IF(V92&lt;K92,Q92,IF(V92&lt;I92,P92,O92))))</f>
        <v>0.0</v>
      </c>
      <c r="X92" s="100" t="inlineStr">
        <is>
          <t>Hayır</t>
        </is>
      </c>
      <c r="Y92" s="102"/>
      <c r="Z92" s="104" t="inlineStr">
        <is>
          <t>234868b12d51572262c80f465185356c</t>
        </is>
      </c>
    </row>
    <row r="93">
      <c r="A93" s="54" t="inlineStr">
        <is>
          <t>Tosca Bohem Berjer Natürel Ahşap, Sütlü Kahve</t>
        </is>
      </c>
      <c r="B93" s="56" t="inlineStr">
        <is>
          <t>19075219077</t>
        </is>
      </c>
      <c r="C93" s="58" t="inlineStr">
        <is>
          <t>1BRJZEM00133</t>
        </is>
      </c>
      <c r="D93" s="60" t="inlineStr">
        <is>
          <t>Tek Ebat</t>
        </is>
      </c>
      <c r="E93" s="62" t="inlineStr">
        <is>
          <t>ZEMTSC</t>
        </is>
      </c>
      <c r="F93" s="64" t="inlineStr">
        <is>
          <t>Berjer</t>
        </is>
      </c>
      <c r="G93" s="66" t="inlineStr">
        <is>
          <t>Zem</t>
        </is>
      </c>
      <c r="H93" s="68" t="n">
        <v>803.0</v>
      </c>
      <c r="I93" s="70" t="n">
        <v>5303.28</v>
      </c>
      <c r="J93" s="72" t="n">
        <v>5303.27</v>
      </c>
      <c r="K93" s="74" t="n">
        <v>5050.29</v>
      </c>
      <c r="L93" s="76" t="n">
        <v>5050.28</v>
      </c>
      <c r="M93" s="78" t="n">
        <v>4725.07</v>
      </c>
      <c r="N93" s="80" t="n">
        <v>4725.06</v>
      </c>
      <c r="O93" s="82" t="n">
        <v>21.0</v>
      </c>
      <c r="P93" s="84" t="n">
        <v>16.2</v>
      </c>
      <c r="Q93" s="86" t="n">
        <v>14.7</v>
      </c>
      <c r="R93" s="88" t="n">
        <v>12.7</v>
      </c>
      <c r="S93" s="90" t="n">
        <v>5253.27</v>
      </c>
      <c r="T93" s="92" t="n">
        <v>16.2</v>
      </c>
      <c r="U93" s="94" t="n">
        <v>5303.27</v>
      </c>
      <c r="V93" s="96"/>
      <c r="W93" s="98">
        <f>IF(V93="","-",IF(V93&lt;=N93,R93,IF(V93&lt;K93,Q93,IF(V93&lt;I93,P93,O93))))</f>
        <v>0.0</v>
      </c>
      <c r="X93" s="100" t="inlineStr">
        <is>
          <t>Evet</t>
        </is>
      </c>
      <c r="Y93" s="102" t="inlineStr">
        <is>
          <t>rh_5ce265c835537721ea4a63d7e75e6800</t>
        </is>
      </c>
      <c r="Z93" s="104" t="inlineStr">
        <is>
          <t>234868b12d51572262c80f465185356c</t>
        </is>
      </c>
    </row>
    <row r="94">
      <c r="A94" s="54" t="inlineStr">
        <is>
          <t>Modica Bench, Kırık Beyaz</t>
        </is>
      </c>
      <c r="B94" s="56" t="inlineStr">
        <is>
          <t>45355252140</t>
        </is>
      </c>
      <c r="C94" s="58" t="inlineStr">
        <is>
          <t>1BNCZEM00082</t>
        </is>
      </c>
      <c r="D94" s="60" t="inlineStr">
        <is>
          <t>Tek Ebat</t>
        </is>
      </c>
      <c r="E94" s="62" t="inlineStr">
        <is>
          <t>ZEMMDC</t>
        </is>
      </c>
      <c r="F94" s="64" t="inlineStr">
        <is>
          <t>Puf &amp; Bench</t>
        </is>
      </c>
      <c r="G94" s="66" t="inlineStr">
        <is>
          <t>Zem</t>
        </is>
      </c>
      <c r="H94" s="68" t="n">
        <v>997.0</v>
      </c>
      <c r="I94" s="70" t="n">
        <v>2669.08</v>
      </c>
      <c r="J94" s="72" t="n">
        <v>2669.07</v>
      </c>
      <c r="K94" s="74" t="n">
        <v>2503.42</v>
      </c>
      <c r="L94" s="76" t="n">
        <v>2503.41</v>
      </c>
      <c r="M94" s="78" t="n">
        <v>2291.73</v>
      </c>
      <c r="N94" s="80" t="n">
        <v>2291.72</v>
      </c>
      <c r="O94" s="82" t="n">
        <v>21.0</v>
      </c>
      <c r="P94" s="84" t="n">
        <v>15.8</v>
      </c>
      <c r="Q94" s="86" t="n">
        <v>13.9</v>
      </c>
      <c r="R94" s="88" t="n">
        <v>11.0</v>
      </c>
      <c r="S94" s="90" t="n">
        <v>2974.9</v>
      </c>
      <c r="T94" s="92" t="n">
        <v>21.0</v>
      </c>
      <c r="U94" s="94" t="n">
        <v>2999.9</v>
      </c>
      <c r="V94" s="96"/>
      <c r="W94" s="98">
        <f>IF(V94="","-",IF(V94&lt;=N94,R94,IF(V94&lt;K94,Q94,IF(V94&lt;I94,P94,O94))))</f>
        <v>0.0</v>
      </c>
      <c r="X94" s="100" t="inlineStr">
        <is>
          <t>Hayır</t>
        </is>
      </c>
      <c r="Y94" s="102"/>
      <c r="Z94" s="104" t="inlineStr">
        <is>
          <t>234868b12d51572262c80f465185356c</t>
        </is>
      </c>
    </row>
    <row r="95">
      <c r="A95" s="54" t="inlineStr">
        <is>
          <t>Tosca Bohem Berjer Natürel Ahşap, Kırık Beyaz</t>
        </is>
      </c>
      <c r="B95" s="56" t="inlineStr">
        <is>
          <t>190754665089</t>
        </is>
      </c>
      <c r="C95" s="58" t="inlineStr">
        <is>
          <t>1BRJZEM00119</t>
        </is>
      </c>
      <c r="D95" s="60" t="inlineStr">
        <is>
          <t>Tek Ebat</t>
        </is>
      </c>
      <c r="E95" s="62" t="inlineStr">
        <is>
          <t>ZEMTSC</t>
        </is>
      </c>
      <c r="F95" s="64" t="inlineStr">
        <is>
          <t>Berjer</t>
        </is>
      </c>
      <c r="G95" s="66" t="inlineStr">
        <is>
          <t>Zem</t>
        </is>
      </c>
      <c r="H95" s="68" t="n">
        <v>991.0</v>
      </c>
      <c r="I95" s="70" t="n">
        <v>5213.8</v>
      </c>
      <c r="J95" s="72" t="n">
        <v>5213.79</v>
      </c>
      <c r="K95" s="74" t="n">
        <v>4923.49</v>
      </c>
      <c r="L95" s="76" t="n">
        <v>4923.48</v>
      </c>
      <c r="M95" s="78" t="n">
        <v>4551.09</v>
      </c>
      <c r="N95" s="80" t="n">
        <v>4551.08</v>
      </c>
      <c r="O95" s="82" t="n">
        <v>21.0</v>
      </c>
      <c r="P95" s="84" t="n">
        <v>16.0</v>
      </c>
      <c r="Q95" s="86" t="n">
        <v>14.2</v>
      </c>
      <c r="R95" s="88" t="n">
        <v>11.7</v>
      </c>
      <c r="S95" s="90" t="n">
        <v>5499.9</v>
      </c>
      <c r="T95" s="92" t="n">
        <v>21.0</v>
      </c>
      <c r="U95" s="94" t="n">
        <v>5549.9</v>
      </c>
      <c r="V95" s="96"/>
      <c r="W95" s="98">
        <f>IF(V95="","-",IF(V95&lt;=N95,R95,IF(V95&lt;K95,Q95,IF(V95&lt;I95,P95,O95))))</f>
        <v>0.0</v>
      </c>
      <c r="X95" s="100" t="inlineStr">
        <is>
          <t>Hayır</t>
        </is>
      </c>
      <c r="Y95" s="102"/>
      <c r="Z95" s="104" t="inlineStr">
        <is>
          <t>234868b12d51572262c80f465185356c</t>
        </is>
      </c>
    </row>
    <row r="96">
      <c r="A96" s="54" t="inlineStr">
        <is>
          <t>Petra Çay Seti, Kırık Beyaz (2 ADET TEKLİ BERJER 1 ADET IKİLİ BERJER)</t>
        </is>
      </c>
      <c r="B96" s="56" t="inlineStr">
        <is>
          <t>198190755</t>
        </is>
      </c>
      <c r="C96" s="58" t="inlineStr">
        <is>
          <t>1ÇYSZEM00018</t>
        </is>
      </c>
      <c r="D96" s="60"/>
      <c r="E96" s="62" t="inlineStr">
        <is>
          <t>PETRA5</t>
        </is>
      </c>
      <c r="F96" s="64" t="inlineStr">
        <is>
          <t>Çay Seti Koltuk Takımı</t>
        </is>
      </c>
      <c r="G96" s="66" t="inlineStr">
        <is>
          <t>Zem</t>
        </is>
      </c>
      <c r="H96" s="68" t="n">
        <v>500.0</v>
      </c>
      <c r="I96" s="70" t="n">
        <v>23101.22</v>
      </c>
      <c r="J96" s="72" t="n">
        <v>23101.21</v>
      </c>
      <c r="K96" s="74" t="n">
        <v>21905.28</v>
      </c>
      <c r="L96" s="76" t="n">
        <v>21905.27</v>
      </c>
      <c r="M96" s="78" t="n">
        <v>20359.8</v>
      </c>
      <c r="N96" s="80" t="n">
        <v>20359.79</v>
      </c>
      <c r="O96" s="82" t="n">
        <v>20.0</v>
      </c>
      <c r="P96" s="84" t="n">
        <v>15.2</v>
      </c>
      <c r="Q96" s="86" t="n">
        <v>13.6</v>
      </c>
      <c r="R96" s="88" t="n">
        <v>11.2</v>
      </c>
      <c r="S96" s="90" t="n">
        <v>25199.9</v>
      </c>
      <c r="T96" s="92" t="n">
        <v>20.0</v>
      </c>
      <c r="U96" s="94" t="n">
        <v>25249.9</v>
      </c>
      <c r="V96" s="96"/>
      <c r="W96" s="98">
        <f>IF(V96="","-",IF(V96&lt;=N96,R96,IF(V96&lt;K96,Q96,IF(V96&lt;I96,P96,O96))))</f>
        <v>0.0</v>
      </c>
      <c r="X96" s="100" t="inlineStr">
        <is>
          <t>Hayır</t>
        </is>
      </c>
      <c r="Y96" s="102"/>
      <c r="Z96" s="104" t="inlineStr">
        <is>
          <t>234868b12d51572262c80f465185356c</t>
        </is>
      </c>
    </row>
    <row r="97">
      <c r="A97" s="54" t="inlineStr">
        <is>
          <t>Pavia Ikili Berjer Natürel Ahşap, Sütlü Kahve</t>
        </is>
      </c>
      <c r="B97" s="56" t="inlineStr">
        <is>
          <t>19076036540</t>
        </is>
      </c>
      <c r="C97" s="58" t="inlineStr">
        <is>
          <t>1BRJZEM00118</t>
        </is>
      </c>
      <c r="D97" s="60" t="inlineStr">
        <is>
          <t>Tek Ebat</t>
        </is>
      </c>
      <c r="E97" s="62" t="inlineStr">
        <is>
          <t>TYC9bd12dd724fbc5e9d9d22</t>
        </is>
      </c>
      <c r="F97" s="64" t="inlineStr">
        <is>
          <t>Berjer</t>
        </is>
      </c>
      <c r="G97" s="66" t="inlineStr">
        <is>
          <t>Zem</t>
        </is>
      </c>
      <c r="H97" s="68" t="n">
        <v>443.0</v>
      </c>
      <c r="I97" s="70" t="n">
        <v>8522.31</v>
      </c>
      <c r="J97" s="72" t="n">
        <v>8522.3</v>
      </c>
      <c r="K97" s="74" t="n">
        <v>8094.41</v>
      </c>
      <c r="L97" s="76" t="n">
        <v>8094.4</v>
      </c>
      <c r="M97" s="78" t="n">
        <v>7544.37</v>
      </c>
      <c r="N97" s="80" t="n">
        <v>7544.36</v>
      </c>
      <c r="O97" s="82" t="n">
        <v>21.0</v>
      </c>
      <c r="P97" s="84" t="n">
        <v>16.1</v>
      </c>
      <c r="Q97" s="86" t="n">
        <v>14.6</v>
      </c>
      <c r="R97" s="88" t="n">
        <v>12.4</v>
      </c>
      <c r="S97" s="90" t="n">
        <v>9099.9</v>
      </c>
      <c r="T97" s="92" t="n">
        <v>21.0</v>
      </c>
      <c r="U97" s="94" t="n">
        <v>9149.9</v>
      </c>
      <c r="V97" s="96"/>
      <c r="W97" s="98">
        <f>IF(V97="","-",IF(V97&lt;=N97,R97,IF(V97&lt;K97,Q97,IF(V97&lt;I97,P97,O97))))</f>
        <v>0.0</v>
      </c>
      <c r="X97" s="100" t="inlineStr">
        <is>
          <t>Hayır</t>
        </is>
      </c>
      <c r="Y97" s="102"/>
      <c r="Z97" s="104" t="inlineStr">
        <is>
          <t>234868b12d51572262c80f465185356c</t>
        </is>
      </c>
    </row>
    <row r="98">
      <c r="A98" s="54" t="inlineStr">
        <is>
          <t>Pavia Çay Seti Natürel Ahşap, Sütlü Kahve (1 ADET IKİLİ BERJER 1 ADET TEKLİ BERJER)</t>
        </is>
      </c>
      <c r="B98" s="56" t="inlineStr">
        <is>
          <t>4509190732</t>
        </is>
      </c>
      <c r="C98" s="58" t="inlineStr">
        <is>
          <t>1ÇYSZEM00030</t>
        </is>
      </c>
      <c r="D98" s="60" t="inlineStr">
        <is>
          <t>Tek Ebat</t>
        </is>
      </c>
      <c r="E98" s="62" t="inlineStr">
        <is>
          <t>ZEMPVST5</t>
        </is>
      </c>
      <c r="F98" s="64" t="inlineStr">
        <is>
          <t>Çay Seti Koltuk Takımı</t>
        </is>
      </c>
      <c r="G98" s="66" t="inlineStr">
        <is>
          <t>Zem</t>
        </is>
      </c>
      <c r="H98" s="68" t="n">
        <v>493.0</v>
      </c>
      <c r="I98" s="70" t="n">
        <v>13784.62</v>
      </c>
      <c r="J98" s="72" t="n">
        <v>13784.61</v>
      </c>
      <c r="K98" s="74" t="n">
        <v>13062.08</v>
      </c>
      <c r="L98" s="76" t="n">
        <v>13062.07</v>
      </c>
      <c r="M98" s="78" t="n">
        <v>12130.32</v>
      </c>
      <c r="N98" s="80" t="n">
        <v>12130.31</v>
      </c>
      <c r="O98" s="82" t="n">
        <v>20.0</v>
      </c>
      <c r="P98" s="84" t="n">
        <v>15.2</v>
      </c>
      <c r="Q98" s="86" t="n">
        <v>13.6</v>
      </c>
      <c r="R98" s="88" t="n">
        <v>11.1</v>
      </c>
      <c r="S98" s="90" t="n">
        <v>15049.9</v>
      </c>
      <c r="T98" s="92" t="n">
        <v>20.0</v>
      </c>
      <c r="U98" s="94" t="n">
        <v>15099.9</v>
      </c>
      <c r="V98" s="96"/>
      <c r="W98" s="98">
        <f>IF(V98="","-",IF(V98&lt;=N98,R98,IF(V98&lt;K98,Q98,IF(V98&lt;I98,P98,O98))))</f>
        <v>0.0</v>
      </c>
      <c r="X98" s="100" t="inlineStr">
        <is>
          <t>Hayır</t>
        </is>
      </c>
      <c r="Y98" s="102"/>
      <c r="Z98" s="104" t="inlineStr">
        <is>
          <t>234868b12d51572262c80f465185356c</t>
        </is>
      </c>
    </row>
    <row r="99">
      <c r="A99" s="54" t="inlineStr">
        <is>
          <t>Petra Berjer, Kırık Beyaz</t>
        </is>
      </c>
      <c r="B99" s="56" t="inlineStr">
        <is>
          <t>4520051907</t>
        </is>
      </c>
      <c r="C99" s="58" t="inlineStr">
        <is>
          <t>1BRJZEM00096</t>
        </is>
      </c>
      <c r="D99" s="60" t="inlineStr">
        <is>
          <t>Tek Ebat</t>
        </is>
      </c>
      <c r="E99" s="62" t="inlineStr">
        <is>
          <t>ZEMPTR</t>
        </is>
      </c>
      <c r="F99" s="64" t="inlineStr">
        <is>
          <t>Berjer</t>
        </is>
      </c>
      <c r="G99" s="66" t="inlineStr">
        <is>
          <t>Zem</t>
        </is>
      </c>
      <c r="H99" s="68" t="n">
        <v>500.0</v>
      </c>
      <c r="I99" s="70" t="n">
        <v>6591.21</v>
      </c>
      <c r="J99" s="72" t="n">
        <v>6591.2</v>
      </c>
      <c r="K99" s="74" t="n">
        <v>6218.92</v>
      </c>
      <c r="L99" s="76" t="n">
        <v>6218.91</v>
      </c>
      <c r="M99" s="78" t="n">
        <v>5740.94</v>
      </c>
      <c r="N99" s="80" t="n">
        <v>5740.93</v>
      </c>
      <c r="O99" s="82" t="n">
        <v>21.0</v>
      </c>
      <c r="P99" s="84" t="n">
        <v>15.9</v>
      </c>
      <c r="Q99" s="86" t="n">
        <v>14.2</v>
      </c>
      <c r="R99" s="88" t="n">
        <v>11.6</v>
      </c>
      <c r="S99" s="90" t="n">
        <v>7199.9</v>
      </c>
      <c r="T99" s="92" t="n">
        <v>21.0</v>
      </c>
      <c r="U99" s="94" t="n">
        <v>7249.9</v>
      </c>
      <c r="V99" s="96"/>
      <c r="W99" s="98">
        <f>IF(V99="","-",IF(V99&lt;=N99,R99,IF(V99&lt;K99,Q99,IF(V99&lt;I99,P99,O99))))</f>
        <v>0.0</v>
      </c>
      <c r="X99" s="100" t="inlineStr">
        <is>
          <t>Hayır</t>
        </is>
      </c>
      <c r="Y99" s="102"/>
      <c r="Z99" s="104" t="inlineStr">
        <is>
          <t>234868b12d51572262c80f465185356c</t>
        </is>
      </c>
    </row>
    <row r="100">
      <c r="A100" s="54" t="inlineStr">
        <is>
          <t>Petra Ikili Berjer, Siyah Kazayağı/taba Deri</t>
        </is>
      </c>
      <c r="B100" s="56" t="inlineStr">
        <is>
          <t>45190709</t>
        </is>
      </c>
      <c r="C100" s="58" t="inlineStr">
        <is>
          <t>1BRJZEM00098</t>
        </is>
      </c>
      <c r="D100" s="60" t="inlineStr">
        <is>
          <t>Tek Ebat</t>
        </is>
      </c>
      <c r="E100" s="62" t="inlineStr">
        <is>
          <t>TYC47FD7FN170912716317878</t>
        </is>
      </c>
      <c r="F100" s="64" t="inlineStr">
        <is>
          <t>Berjer</t>
        </is>
      </c>
      <c r="G100" s="66" t="inlineStr">
        <is>
          <t>Zem</t>
        </is>
      </c>
      <c r="H100" s="68" t="n">
        <v>499.0</v>
      </c>
      <c r="I100" s="70" t="n">
        <v>11488.89</v>
      </c>
      <c r="J100" s="72" t="n">
        <v>11488.88</v>
      </c>
      <c r="K100" s="74" t="n">
        <v>10978.15</v>
      </c>
      <c r="L100" s="76" t="n">
        <v>10978.14</v>
      </c>
      <c r="M100" s="78" t="n">
        <v>10320.9</v>
      </c>
      <c r="N100" s="80" t="n">
        <v>10320.89</v>
      </c>
      <c r="O100" s="82" t="n">
        <v>21.0</v>
      </c>
      <c r="P100" s="84" t="n">
        <v>16.2</v>
      </c>
      <c r="Q100" s="86" t="n">
        <v>14.9</v>
      </c>
      <c r="R100" s="88" t="n">
        <v>13.0</v>
      </c>
      <c r="S100" s="90" t="n">
        <v>11438.88</v>
      </c>
      <c r="T100" s="92" t="n">
        <v>16.2</v>
      </c>
      <c r="U100" s="94" t="n">
        <v>11488.88</v>
      </c>
      <c r="V100" s="96"/>
      <c r="W100" s="98">
        <f>IF(V100="","-",IF(V100&lt;=N100,R100,IF(V100&lt;K100,Q100,IF(V100&lt;I100,P100,O100))))</f>
        <v>0.0</v>
      </c>
      <c r="X100" s="100" t="inlineStr">
        <is>
          <t>Evet</t>
        </is>
      </c>
      <c r="Y100" s="102" t="inlineStr">
        <is>
          <t>rh_63b6aec224d68730b7edec3cc1f48405</t>
        </is>
      </c>
      <c r="Z100" s="104" t="inlineStr">
        <is>
          <t>234868b12d51572262c80f465185356c</t>
        </is>
      </c>
    </row>
    <row r="101">
      <c r="A101" s="54" t="inlineStr">
        <is>
          <t>Rock Bohem Sallanır Berjer, Gri</t>
        </is>
      </c>
      <c r="B101" s="56" t="inlineStr">
        <is>
          <t>6580408609</t>
        </is>
      </c>
      <c r="C101" s="58" t="inlineStr">
        <is>
          <t>1BRJZEM00114</t>
        </is>
      </c>
      <c r="D101" s="60" t="inlineStr">
        <is>
          <t>Tek Ebat</t>
        </is>
      </c>
      <c r="E101" s="62" t="inlineStr">
        <is>
          <t>ZEMRCK01</t>
        </is>
      </c>
      <c r="F101" s="64" t="inlineStr">
        <is>
          <t>Berjer</t>
        </is>
      </c>
      <c r="G101" s="66" t="inlineStr">
        <is>
          <t>Zem</t>
        </is>
      </c>
      <c r="H101" s="68" t="n">
        <v>454.0</v>
      </c>
      <c r="I101" s="70" t="n">
        <v>6628.73</v>
      </c>
      <c r="J101" s="72" t="n">
        <v>6628.72</v>
      </c>
      <c r="K101" s="74" t="n">
        <v>6255.18</v>
      </c>
      <c r="L101" s="76" t="n">
        <v>6255.17</v>
      </c>
      <c r="M101" s="78" t="n">
        <v>5775.48</v>
      </c>
      <c r="N101" s="80" t="n">
        <v>5775.47</v>
      </c>
      <c r="O101" s="82" t="n">
        <v>21.0</v>
      </c>
      <c r="P101" s="84" t="n">
        <v>15.9</v>
      </c>
      <c r="Q101" s="86" t="n">
        <v>14.2</v>
      </c>
      <c r="R101" s="88" t="n">
        <v>11.6</v>
      </c>
      <c r="S101" s="90" t="n">
        <v>7199.9</v>
      </c>
      <c r="T101" s="92" t="n">
        <v>21.0</v>
      </c>
      <c r="U101" s="94" t="n">
        <v>7249.9</v>
      </c>
      <c r="V101" s="96"/>
      <c r="W101" s="98">
        <f>IF(V101="","-",IF(V101&lt;=N101,R101,IF(V101&lt;K101,Q101,IF(V101&lt;I101,P101,O101))))</f>
        <v>0.0</v>
      </c>
      <c r="X101" s="100" t="inlineStr">
        <is>
          <t>Hayır</t>
        </is>
      </c>
      <c r="Y101" s="102"/>
      <c r="Z101" s="104" t="inlineStr">
        <is>
          <t>234868b12d51572262c80f465185356c</t>
        </is>
      </c>
    </row>
    <row r="102">
      <c r="A102" s="54" t="inlineStr">
        <is>
          <t>Favela Ahşap Ayaklı Gri Teddy Kumaş Berjer</t>
        </is>
      </c>
      <c r="B102" s="56" t="inlineStr">
        <is>
          <t>58408586</t>
        </is>
      </c>
      <c r="C102" s="58" t="inlineStr">
        <is>
          <t>1BRJZEM00050</t>
        </is>
      </c>
      <c r="D102" s="60" t="inlineStr">
        <is>
          <t>Tek Ebat</t>
        </is>
      </c>
      <c r="E102" s="62" t="inlineStr">
        <is>
          <t>ZEMFAVELA</t>
        </is>
      </c>
      <c r="F102" s="64" t="inlineStr">
        <is>
          <t>Berjer</t>
        </is>
      </c>
      <c r="G102" s="66" t="inlineStr">
        <is>
          <t>Zem</t>
        </is>
      </c>
      <c r="H102" s="68" t="n">
        <v>899.0</v>
      </c>
      <c r="I102" s="70" t="n">
        <v>6236.76</v>
      </c>
      <c r="J102" s="72" t="n">
        <v>6236.75</v>
      </c>
      <c r="K102" s="74" t="n">
        <v>5829.25</v>
      </c>
      <c r="L102" s="76" t="n">
        <v>5829.24</v>
      </c>
      <c r="M102" s="78" t="n">
        <v>5307.26</v>
      </c>
      <c r="N102" s="80" t="n">
        <v>5307.25</v>
      </c>
      <c r="O102" s="82" t="n">
        <v>21.0</v>
      </c>
      <c r="P102" s="84" t="n">
        <v>15.7</v>
      </c>
      <c r="Q102" s="86" t="n">
        <v>13.7</v>
      </c>
      <c r="R102" s="88" t="n">
        <v>10.6</v>
      </c>
      <c r="S102" s="90" t="n">
        <v>6949.9</v>
      </c>
      <c r="T102" s="92" t="n">
        <v>21.0</v>
      </c>
      <c r="U102" s="94" t="n">
        <v>6999.9</v>
      </c>
      <c r="V102" s="96"/>
      <c r="W102" s="98">
        <f>IF(V102="","-",IF(V102&lt;=N102,R102,IF(V102&lt;K102,Q102,IF(V102&lt;I102,P102,O102))))</f>
        <v>0.0</v>
      </c>
      <c r="X102" s="100" t="inlineStr">
        <is>
          <t>Hayır</t>
        </is>
      </c>
      <c r="Y102" s="102"/>
      <c r="Z102" s="104" t="inlineStr">
        <is>
          <t>234868b12d51572262c80f465185356c</t>
        </is>
      </c>
    </row>
    <row r="103">
      <c r="A103" s="54" t="inlineStr">
        <is>
          <t>Favela Ahşap Ayaklı Beyaz Teddy Kumaş Berjer V01</t>
        </is>
      </c>
      <c r="B103" s="56" t="inlineStr">
        <is>
          <t>400540909201</t>
        </is>
      </c>
      <c r="C103" s="58" t="inlineStr">
        <is>
          <t>1BRJZEM00048</t>
        </is>
      </c>
      <c r="D103" s="60" t="inlineStr">
        <is>
          <t>Tek Ebat</t>
        </is>
      </c>
      <c r="E103" s="62" t="inlineStr">
        <is>
          <t>ZEMFAVELA</t>
        </is>
      </c>
      <c r="F103" s="64" t="inlineStr">
        <is>
          <t>Berjer</t>
        </is>
      </c>
      <c r="G103" s="66" t="inlineStr">
        <is>
          <t>Zem</t>
        </is>
      </c>
      <c r="H103" s="68" t="n">
        <v>2999.0</v>
      </c>
      <c r="I103" s="70" t="n">
        <v>6146.9</v>
      </c>
      <c r="J103" s="72" t="n">
        <v>6146.89</v>
      </c>
      <c r="K103" s="74" t="n">
        <v>5755.75</v>
      </c>
      <c r="L103" s="76" t="n">
        <v>5755.74</v>
      </c>
      <c r="M103" s="78" t="n">
        <v>5253.87</v>
      </c>
      <c r="N103" s="80" t="n">
        <v>5253.86</v>
      </c>
      <c r="O103" s="82" t="n">
        <v>21.0</v>
      </c>
      <c r="P103" s="84" t="n">
        <v>15.8</v>
      </c>
      <c r="Q103" s="86" t="n">
        <v>13.8</v>
      </c>
      <c r="R103" s="88" t="n">
        <v>10.8</v>
      </c>
      <c r="S103" s="90" t="n">
        <v>6949.9</v>
      </c>
      <c r="T103" s="92" t="n">
        <v>21.0</v>
      </c>
      <c r="U103" s="94" t="n">
        <v>6999.9</v>
      </c>
      <c r="V103" s="96"/>
      <c r="W103" s="98">
        <f>IF(V103="","-",IF(V103&lt;=N103,R103,IF(V103&lt;K103,Q103,IF(V103&lt;I103,P103,O103))))</f>
        <v>0.0</v>
      </c>
      <c r="X103" s="100" t="inlineStr">
        <is>
          <t>Hayır</t>
        </is>
      </c>
      <c r="Y103" s="102"/>
      <c r="Z103" s="104" t="inlineStr">
        <is>
          <t>234868b12d51572262c80f465185356c</t>
        </is>
      </c>
    </row>
    <row r="104">
      <c r="A104" s="54" t="inlineStr">
        <is>
          <t>Hippi Deri Puf, Taba</t>
        </is>
      </c>
      <c r="B104" s="56" t="inlineStr">
        <is>
          <t>5458484848325</t>
        </is>
      </c>
      <c r="C104" s="58" t="inlineStr">
        <is>
          <t>1PUFZEM00642</t>
        </is>
      </c>
      <c r="D104" s="60" t="inlineStr">
        <is>
          <t>Tek Ebat</t>
        </is>
      </c>
      <c r="E104" s="62" t="inlineStr">
        <is>
          <t>TYC00468831285</t>
        </is>
      </c>
      <c r="F104" s="64" t="inlineStr">
        <is>
          <t>Puf &amp; Bench</t>
        </is>
      </c>
      <c r="G104" s="66" t="inlineStr">
        <is>
          <t>Zem</t>
        </is>
      </c>
      <c r="H104" s="68" t="n">
        <v>456.0</v>
      </c>
      <c r="I104" s="70" t="n">
        <v>5590.98</v>
      </c>
      <c r="J104" s="72" t="n">
        <v>5590.97</v>
      </c>
      <c r="K104" s="74" t="n">
        <v>5285.63</v>
      </c>
      <c r="L104" s="76" t="n">
        <v>5285.62</v>
      </c>
      <c r="M104" s="78" t="n">
        <v>4893.82</v>
      </c>
      <c r="N104" s="80" t="n">
        <v>4893.81</v>
      </c>
      <c r="O104" s="82" t="n">
        <v>21.0</v>
      </c>
      <c r="P104" s="84" t="n">
        <v>16.0</v>
      </c>
      <c r="Q104" s="86" t="n">
        <v>14.3</v>
      </c>
      <c r="R104" s="88" t="n">
        <v>11.9</v>
      </c>
      <c r="S104" s="90" t="n">
        <v>6049.9</v>
      </c>
      <c r="T104" s="92" t="n">
        <v>21.0</v>
      </c>
      <c r="U104" s="94" t="n">
        <v>6099.9</v>
      </c>
      <c r="V104" s="96"/>
      <c r="W104" s="98">
        <f>IF(V104="","-",IF(V104&lt;=N104,R104,IF(V104&lt;K104,Q104,IF(V104&lt;I104,P104,O104))))</f>
        <v>0.0</v>
      </c>
      <c r="X104" s="100" t="inlineStr">
        <is>
          <t>Hayır</t>
        </is>
      </c>
      <c r="Y104" s="102"/>
      <c r="Z104" s="104" t="inlineStr">
        <is>
          <t>234868b12d51572262c80f465185356c</t>
        </is>
      </c>
    </row>
    <row r="105">
      <c r="A105" s="54" t="inlineStr">
        <is>
          <t>Fine Puf, Kırık Beyaz Silver</t>
        </is>
      </c>
      <c r="B105" s="56" t="inlineStr">
        <is>
          <t>8699998532531</t>
        </is>
      </c>
      <c r="C105" s="58" t="inlineStr">
        <is>
          <t>1PUFZEM00234</t>
        </is>
      </c>
      <c r="D105" s="60" t="inlineStr">
        <is>
          <t>Tek Ebat</t>
        </is>
      </c>
      <c r="E105" s="62" t="inlineStr">
        <is>
          <t>ZEMLUNGEPUF01</t>
        </is>
      </c>
      <c r="F105" s="64" t="inlineStr">
        <is>
          <t>Puf &amp; Bench</t>
        </is>
      </c>
      <c r="G105" s="66" t="inlineStr">
        <is>
          <t>Zem</t>
        </is>
      </c>
      <c r="H105" s="68" t="n">
        <v>492.0</v>
      </c>
      <c r="I105" s="70" t="n">
        <v>2081.71</v>
      </c>
      <c r="J105" s="72" t="n">
        <v>2081.7</v>
      </c>
      <c r="K105" s="74" t="n">
        <v>1942.02</v>
      </c>
      <c r="L105" s="76" t="n">
        <v>1942.01</v>
      </c>
      <c r="M105" s="78" t="n">
        <v>1764.33</v>
      </c>
      <c r="N105" s="80" t="n">
        <v>1764.32</v>
      </c>
      <c r="O105" s="82" t="n">
        <v>21.0</v>
      </c>
      <c r="P105" s="84" t="n">
        <v>15.7</v>
      </c>
      <c r="Q105" s="86" t="n">
        <v>13.6</v>
      </c>
      <c r="R105" s="88" t="n">
        <v>10.4</v>
      </c>
      <c r="S105" s="90" t="n">
        <v>2095.8</v>
      </c>
      <c r="T105" s="92" t="n">
        <v>21.0</v>
      </c>
      <c r="U105" s="94" t="n">
        <v>2419.9</v>
      </c>
      <c r="V105" s="96"/>
      <c r="W105" s="98">
        <f>IF(V105="","-",IF(V105&lt;=N105,R105,IF(V105&lt;K105,Q105,IF(V105&lt;I105,P105,O105))))</f>
        <v>0.0</v>
      </c>
      <c r="X105" s="100" t="inlineStr">
        <is>
          <t>Hayır</t>
        </is>
      </c>
      <c r="Y105" s="102"/>
      <c r="Z105" s="104" t="inlineStr">
        <is>
          <t>234868b12d51572262c80f465185356c</t>
        </is>
      </c>
    </row>
    <row r="106">
      <c r="A106" s="54" t="inlineStr">
        <is>
          <t>Şila Bench Beyaz Peluş - Silver Ayaklı 90 Cm</t>
        </is>
      </c>
      <c r="B106" s="56" t="inlineStr">
        <is>
          <t>768895542314</t>
        </is>
      </c>
      <c r="C106" s="58" t="inlineStr">
        <is>
          <t>1BNCZEM00009</t>
        </is>
      </c>
      <c r="D106" s="60" t="inlineStr">
        <is>
          <t>Tek Ebat</t>
        </is>
      </c>
      <c r="E106" s="62" t="inlineStr">
        <is>
          <t>ZEMSİLA02</t>
        </is>
      </c>
      <c r="F106" s="64" t="inlineStr">
        <is>
          <t>Puf &amp; Bench</t>
        </is>
      </c>
      <c r="G106" s="66" t="inlineStr">
        <is>
          <t>Zem</t>
        </is>
      </c>
      <c r="H106" s="68" t="n">
        <v>4577.0</v>
      </c>
      <c r="I106" s="70" t="n">
        <v>1628.75</v>
      </c>
      <c r="J106" s="72" t="n">
        <v>1628.74</v>
      </c>
      <c r="K106" s="74" t="n">
        <v>1515.27</v>
      </c>
      <c r="L106" s="76" t="n">
        <v>1515.26</v>
      </c>
      <c r="M106" s="78" t="n">
        <v>1371.46</v>
      </c>
      <c r="N106" s="80" t="n">
        <v>1371.45</v>
      </c>
      <c r="O106" s="82" t="n">
        <v>21.0</v>
      </c>
      <c r="P106" s="84" t="n">
        <v>15.6</v>
      </c>
      <c r="Q106" s="86" t="n">
        <v>13.4</v>
      </c>
      <c r="R106" s="88" t="n">
        <v>10.1</v>
      </c>
      <c r="S106" s="90" t="n">
        <v>1819.9</v>
      </c>
      <c r="T106" s="92" t="n">
        <v>21.0</v>
      </c>
      <c r="U106" s="94" t="n">
        <v>1819.9</v>
      </c>
      <c r="V106" s="96"/>
      <c r="W106" s="98">
        <f>IF(V106="","-",IF(V106&lt;=N106,R106,IF(V106&lt;K106,Q106,IF(V106&lt;I106,P106,O106))))</f>
        <v>0.0</v>
      </c>
      <c r="X106" s="100" t="inlineStr">
        <is>
          <t>Hayır</t>
        </is>
      </c>
      <c r="Y106" s="102"/>
      <c r="Z106" s="104" t="inlineStr">
        <is>
          <t>234868b12d51572262c80f465185356c</t>
        </is>
      </c>
    </row>
    <row r="107">
      <c r="A107" s="54" t="inlineStr">
        <is>
          <t>Fine Cream-gold Puf</t>
        </is>
      </c>
      <c r="B107" s="56" t="inlineStr">
        <is>
          <t>86931ZEMLUNGE</t>
        </is>
      </c>
      <c r="C107" s="58" t="inlineStr">
        <is>
          <t>1PUFZEM00641</t>
        </is>
      </c>
      <c r="D107" s="60" t="inlineStr">
        <is>
          <t>Tek Ebat</t>
        </is>
      </c>
      <c r="E107" s="62" t="inlineStr">
        <is>
          <t>ZEMLUNGEPUF01</t>
        </is>
      </c>
      <c r="F107" s="64" t="inlineStr">
        <is>
          <t>Puf &amp; Bench</t>
        </is>
      </c>
      <c r="G107" s="66" t="inlineStr">
        <is>
          <t>Zem</t>
        </is>
      </c>
      <c r="H107" s="68" t="n">
        <v>486.0</v>
      </c>
      <c r="I107" s="70" t="n">
        <v>2089.44</v>
      </c>
      <c r="J107" s="72" t="n">
        <v>2089.43</v>
      </c>
      <c r="K107" s="74" t="n">
        <v>1933.28</v>
      </c>
      <c r="L107" s="76" t="n">
        <v>1933.27</v>
      </c>
      <c r="M107" s="78" t="n">
        <v>1735.86</v>
      </c>
      <c r="N107" s="80" t="n">
        <v>1735.85</v>
      </c>
      <c r="O107" s="82" t="n">
        <v>21.0</v>
      </c>
      <c r="P107" s="84" t="n">
        <v>15.5</v>
      </c>
      <c r="Q107" s="86" t="n">
        <v>13.1</v>
      </c>
      <c r="R107" s="88" t="n">
        <v>9.5</v>
      </c>
      <c r="S107" s="90" t="n">
        <v>2117.27</v>
      </c>
      <c r="T107" s="92" t="n">
        <v>21.0</v>
      </c>
      <c r="U107" s="94" t="n">
        <v>2419.9</v>
      </c>
      <c r="V107" s="96"/>
      <c r="W107" s="98">
        <f>IF(V107="","-",IF(V107&lt;=N107,R107,IF(V107&lt;K107,Q107,IF(V107&lt;I107,P107,O107))))</f>
        <v>0.0</v>
      </c>
      <c r="X107" s="100" t="inlineStr">
        <is>
          <t>Hayır</t>
        </is>
      </c>
      <c r="Y107" s="102"/>
      <c r="Z107" s="104" t="inlineStr">
        <is>
          <t>234868b12d51572262c80f465185356c</t>
        </is>
      </c>
    </row>
    <row r="108">
      <c r="A108" s="54" t="inlineStr">
        <is>
          <t>Long Line Puf, Siyah Gold</t>
        </is>
      </c>
      <c r="B108" s="56" t="inlineStr">
        <is>
          <t>8541226635</t>
        </is>
      </c>
      <c r="C108" s="58" t="inlineStr">
        <is>
          <t>1PUFZEM00111</t>
        </is>
      </c>
      <c r="D108" s="60" t="inlineStr">
        <is>
          <t>Tek Ebat</t>
        </is>
      </c>
      <c r="E108" s="62" t="inlineStr">
        <is>
          <t>ZEMLONGLİNE</t>
        </is>
      </c>
      <c r="F108" s="64" t="inlineStr">
        <is>
          <t>Puf &amp; Bench</t>
        </is>
      </c>
      <c r="G108" s="66" t="inlineStr">
        <is>
          <t>Zem</t>
        </is>
      </c>
      <c r="H108" s="68" t="n">
        <v>522.0</v>
      </c>
      <c r="I108" s="70" t="n">
        <v>1065.32</v>
      </c>
      <c r="J108" s="72" t="n">
        <v>1065.31</v>
      </c>
      <c r="K108" s="74" t="n">
        <v>982.95</v>
      </c>
      <c r="L108" s="76" t="n">
        <v>982.94</v>
      </c>
      <c r="M108" s="78" t="n">
        <v>880.43</v>
      </c>
      <c r="N108" s="80" t="n">
        <v>880.42</v>
      </c>
      <c r="O108" s="82" t="n">
        <v>21.0</v>
      </c>
      <c r="P108" s="84" t="n">
        <v>15.4</v>
      </c>
      <c r="Q108" s="86" t="n">
        <v>13.0</v>
      </c>
      <c r="R108" s="88" t="n">
        <v>9.2</v>
      </c>
      <c r="S108" s="90" t="n">
        <v>1199.9</v>
      </c>
      <c r="T108" s="92" t="n">
        <v>21.0</v>
      </c>
      <c r="U108" s="94" t="n">
        <v>1199.9</v>
      </c>
      <c r="V108" s="96"/>
      <c r="W108" s="98">
        <f>IF(V108="","-",IF(V108&lt;=N108,R108,IF(V108&lt;K108,Q108,IF(V108&lt;I108,P108,O108))))</f>
        <v>0.0</v>
      </c>
      <c r="X108" s="100" t="inlineStr">
        <is>
          <t>Hayır</t>
        </is>
      </c>
      <c r="Y108" s="102"/>
      <c r="Z108" s="104" t="inlineStr">
        <is>
          <t>234868b12d51572262c80f465185356c</t>
        </is>
      </c>
    </row>
    <row r="109">
      <c r="A109" s="54" t="inlineStr">
        <is>
          <t>Long Line Puf, Kırık Beyaz Silver</t>
        </is>
      </c>
      <c r="B109" s="56" t="inlineStr">
        <is>
          <t>8898777ZE3040</t>
        </is>
      </c>
      <c r="C109" s="58" t="inlineStr">
        <is>
          <t>1PUFZEM00112</t>
        </is>
      </c>
      <c r="D109" s="60" t="inlineStr">
        <is>
          <t>Tek Ebat</t>
        </is>
      </c>
      <c r="E109" s="62" t="inlineStr">
        <is>
          <t>ZEMLONGLİNE</t>
        </is>
      </c>
      <c r="F109" s="64" t="inlineStr">
        <is>
          <t>Puf &amp; Bench</t>
        </is>
      </c>
      <c r="G109" s="66" t="inlineStr">
        <is>
          <t>Zem</t>
        </is>
      </c>
      <c r="H109" s="68" t="n">
        <v>434.0</v>
      </c>
      <c r="I109" s="70" t="n">
        <v>1056.38</v>
      </c>
      <c r="J109" s="72" t="n">
        <v>1056.37</v>
      </c>
      <c r="K109" s="74" t="n">
        <v>970.54</v>
      </c>
      <c r="L109" s="76" t="n">
        <v>970.53</v>
      </c>
      <c r="M109" s="78" t="n">
        <v>864.03</v>
      </c>
      <c r="N109" s="80" t="n">
        <v>864.02</v>
      </c>
      <c r="O109" s="82" t="n">
        <v>21.0</v>
      </c>
      <c r="P109" s="84" t="n">
        <v>15.4</v>
      </c>
      <c r="Q109" s="86" t="n">
        <v>12.7</v>
      </c>
      <c r="R109" s="88" t="n">
        <v>8.7</v>
      </c>
      <c r="S109" s="90" t="n">
        <v>1021.71</v>
      </c>
      <c r="T109" s="92" t="n">
        <v>15.4</v>
      </c>
      <c r="U109" s="94" t="n">
        <v>1021.71</v>
      </c>
      <c r="V109" s="96"/>
      <c r="W109" s="98">
        <f>IF(V109="","-",IF(V109&lt;=N109,R109,IF(V109&lt;K109,Q109,IF(V109&lt;I109,P109,O109))))</f>
        <v>0.0</v>
      </c>
      <c r="X109" s="100" t="inlineStr">
        <is>
          <t>Evet</t>
        </is>
      </c>
      <c r="Y109" s="102" t="inlineStr">
        <is>
          <t>bh_bba79fd1f45cefe4aa7df03aa4058b81</t>
        </is>
      </c>
      <c r="Z109" s="104" t="inlineStr">
        <is>
          <t>234868b12d51572262c80f465185356c</t>
        </is>
      </c>
    </row>
    <row r="110">
      <c r="A110" s="54" t="inlineStr">
        <is>
          <t>Long Line Puf, Gri Gold</t>
        </is>
      </c>
      <c r="B110" s="56" t="inlineStr">
        <is>
          <t>85ZEM65214573</t>
        </is>
      </c>
      <c r="C110" s="58" t="inlineStr">
        <is>
          <t>1PUFZEM00059</t>
        </is>
      </c>
      <c r="D110" s="60" t="inlineStr">
        <is>
          <t>Tek Ebat</t>
        </is>
      </c>
      <c r="E110" s="62" t="inlineStr">
        <is>
          <t>ZEMLONGLİNE</t>
        </is>
      </c>
      <c r="F110" s="64" t="inlineStr">
        <is>
          <t>Puf &amp; Bench</t>
        </is>
      </c>
      <c r="G110" s="66" t="inlineStr">
        <is>
          <t>Zem</t>
        </is>
      </c>
      <c r="H110" s="68" t="n">
        <v>346.0</v>
      </c>
      <c r="I110" s="70" t="n">
        <v>1066.47</v>
      </c>
      <c r="J110" s="72" t="n">
        <v>1066.46</v>
      </c>
      <c r="K110" s="74" t="n">
        <v>984.62</v>
      </c>
      <c r="L110" s="76" t="n">
        <v>984.61</v>
      </c>
      <c r="M110" s="78" t="n">
        <v>882.7</v>
      </c>
      <c r="N110" s="80" t="n">
        <v>882.69</v>
      </c>
      <c r="O110" s="82" t="n">
        <v>21.0</v>
      </c>
      <c r="P110" s="84" t="n">
        <v>15.5</v>
      </c>
      <c r="Q110" s="86" t="n">
        <v>13.0</v>
      </c>
      <c r="R110" s="88" t="n">
        <v>9.3</v>
      </c>
      <c r="S110" s="90" t="n">
        <v>1199.9</v>
      </c>
      <c r="T110" s="92" t="n">
        <v>21.0</v>
      </c>
      <c r="U110" s="94" t="n">
        <v>1199.9</v>
      </c>
      <c r="V110" s="96"/>
      <c r="W110" s="98">
        <f>IF(V110="","-",IF(V110&lt;=N110,R110,IF(V110&lt;K110,Q110,IF(V110&lt;I110,P110,O110))))</f>
        <v>0.0</v>
      </c>
      <c r="X110" s="100" t="inlineStr">
        <is>
          <t>Hayır</t>
        </is>
      </c>
      <c r="Y110" s="102"/>
      <c r="Z110" s="104" t="inlineStr">
        <is>
          <t>234868b12d51572262c80f465185356c</t>
        </is>
      </c>
    </row>
    <row r="111">
      <c r="A111" s="54" t="inlineStr">
        <is>
          <t>Fine Black-silver Puf</t>
        </is>
      </c>
      <c r="B111" s="56" t="inlineStr">
        <is>
          <t>ZEM21XC1212D</t>
        </is>
      </c>
      <c r="C111" s="58" t="inlineStr">
        <is>
          <t>1PUFZEM00023</t>
        </is>
      </c>
      <c r="D111" s="60" t="inlineStr">
        <is>
          <t>Tek Ebat</t>
        </is>
      </c>
      <c r="E111" s="62" t="inlineStr">
        <is>
          <t>ZEMLUNGEPUF01</t>
        </is>
      </c>
      <c r="F111" s="64" t="inlineStr">
        <is>
          <t>Puf &amp; Bench</t>
        </is>
      </c>
      <c r="G111" s="66" t="inlineStr">
        <is>
          <t>Zem</t>
        </is>
      </c>
      <c r="H111" s="68" t="n">
        <v>379.0</v>
      </c>
      <c r="I111" s="70" t="n">
        <v>2163.79</v>
      </c>
      <c r="J111" s="72" t="n">
        <v>2163.78</v>
      </c>
      <c r="K111" s="74" t="n">
        <v>2018.42</v>
      </c>
      <c r="L111" s="76" t="n">
        <v>2018.41</v>
      </c>
      <c r="M111" s="78" t="n">
        <v>1834.91</v>
      </c>
      <c r="N111" s="80" t="n">
        <v>1834.9</v>
      </c>
      <c r="O111" s="82" t="n">
        <v>21.0</v>
      </c>
      <c r="P111" s="84" t="n">
        <v>15.7</v>
      </c>
      <c r="Q111" s="86" t="n">
        <v>13.6</v>
      </c>
      <c r="R111" s="88" t="n">
        <v>10.4</v>
      </c>
      <c r="S111" s="90" t="n">
        <v>2419.9</v>
      </c>
      <c r="T111" s="92" t="n">
        <v>21.0</v>
      </c>
      <c r="U111" s="94" t="n">
        <v>2419.9</v>
      </c>
      <c r="V111" s="96"/>
      <c r="W111" s="98">
        <f>IF(V111="","-",IF(V111&lt;=N111,R111,IF(V111&lt;K111,Q111,IF(V111&lt;I111,P111,O111))))</f>
        <v>0.0</v>
      </c>
      <c r="X111" s="100" t="inlineStr">
        <is>
          <t>Hayır</t>
        </is>
      </c>
      <c r="Y111" s="102"/>
      <c r="Z111" s="104" t="inlineStr">
        <is>
          <t>234868b12d51572262c80f465185356c</t>
        </is>
      </c>
    </row>
    <row r="112">
      <c r="A112" s="54" t="inlineStr">
        <is>
          <t>Fine Black-gold Puf</t>
        </is>
      </c>
      <c r="B112" s="56" t="inlineStr">
        <is>
          <t>8693ZEMLUNGE</t>
        </is>
      </c>
      <c r="C112" s="58" t="inlineStr">
        <is>
          <t>1PUFZEM00010</t>
        </is>
      </c>
      <c r="D112" s="60" t="inlineStr">
        <is>
          <t>Tek Ebat</t>
        </is>
      </c>
      <c r="E112" s="62" t="inlineStr">
        <is>
          <t>ZEMLUNGEPUF01</t>
        </is>
      </c>
      <c r="F112" s="64" t="inlineStr">
        <is>
          <t>Puf &amp; Bench</t>
        </is>
      </c>
      <c r="G112" s="66" t="inlineStr">
        <is>
          <t>Zem</t>
        </is>
      </c>
      <c r="H112" s="68" t="n">
        <v>4885.0</v>
      </c>
      <c r="I112" s="70" t="n">
        <v>2167.41</v>
      </c>
      <c r="J112" s="72" t="n">
        <v>2167.4</v>
      </c>
      <c r="K112" s="74" t="n">
        <v>2021.77</v>
      </c>
      <c r="L112" s="76" t="n">
        <v>2021.76</v>
      </c>
      <c r="M112" s="78" t="n">
        <v>1837.89</v>
      </c>
      <c r="N112" s="80" t="n">
        <v>1837.88</v>
      </c>
      <c r="O112" s="82" t="n">
        <v>21.0</v>
      </c>
      <c r="P112" s="84" t="n">
        <v>15.7</v>
      </c>
      <c r="Q112" s="86" t="n">
        <v>13.6</v>
      </c>
      <c r="R112" s="88" t="n">
        <v>10.4</v>
      </c>
      <c r="S112" s="90" t="n">
        <v>2419.9</v>
      </c>
      <c r="T112" s="92" t="n">
        <v>21.0</v>
      </c>
      <c r="U112" s="94" t="n">
        <v>2419.9</v>
      </c>
      <c r="V112" s="96"/>
      <c r="W112" s="98">
        <f>IF(V112="","-",IF(V112&lt;=N112,R112,IF(V112&lt;K112,Q112,IF(V112&lt;I112,P112,O112))))</f>
        <v>0.0</v>
      </c>
      <c r="X112" s="100" t="inlineStr">
        <is>
          <t>Hayır</t>
        </is>
      </c>
      <c r="Y112" s="102"/>
      <c r="Z112" s="104" t="inlineStr">
        <is>
          <t>234868b12d51572262c80f465185356c</t>
        </is>
      </c>
    </row>
  </sheetData>
  <dataValidations count="112">
    <dataValidation type="decimal" operator="between" sqref="V2:V1048576" allowBlank="true" errorStyle="stop" promptTitle="Nasıl Doldurmalıyım ?" prompt="Ürünün Trendyol'da satmak istediğiniz fiyatını girin_x000a__x000a_Trendyol'da satılacak fiyat sadece sayı olarak girilmelidir._x000a__x000a_Fiyat sonuna TL ibaresi eklenmemelidir. Kuruş değeri virgül ile ayrılarak boşluk bırakılmadan 2 hane olacak şekilde girilmelidir" showInputMessage="true" errorTitle="Yeni TSF Fiyat Format Hatası" error="Kuruş değerini 2 hane olacak şekilde virgül ile ayırarak pozitif bir fiyat girin" showErrorMessage="true">
      <formula1>0</formula1>
      <formula2>3.4028235E38</formula2>
    </dataValidation>
    <dataValidation type="list" sqref="X2" allowBlank="true" errorStyle="stop">
      <formula1>"Hayır,Evet"</formula1>
    </dataValidation>
    <dataValidation type="list" sqref="X3" allowBlank="true" errorStyle="stop">
      <formula1>"Hayır,Evet"</formula1>
    </dataValidation>
    <dataValidation type="list" sqref="X4" allowBlank="true" errorStyle="stop">
      <formula1>"Hayır,Evet"</formula1>
    </dataValidation>
    <dataValidation type="list" sqref="X5" allowBlank="true" errorStyle="stop">
      <formula1>"Hayır,Evet"</formula1>
    </dataValidation>
    <dataValidation type="list" sqref="X6" allowBlank="true" errorStyle="stop">
      <formula1>"Hayır,Evet"</formula1>
    </dataValidation>
    <dataValidation type="list" sqref="X7" allowBlank="true" errorStyle="stop">
      <formula1>"Hayır,Evet"</formula1>
    </dataValidation>
    <dataValidation type="list" sqref="X8" allowBlank="true" errorStyle="stop">
      <formula1>"Hayır,Evet"</formula1>
    </dataValidation>
    <dataValidation type="list" sqref="X9" allowBlank="true" errorStyle="stop">
      <formula1>"Hayır,Evet"</formula1>
    </dataValidation>
    <dataValidation type="list" sqref="X10" allowBlank="true" errorStyle="stop">
      <formula1>"Hayır,Evet"</formula1>
    </dataValidation>
    <dataValidation type="list" sqref="X11" allowBlank="true" errorStyle="stop">
      <formula1>"Hayır,Evet"</formula1>
    </dataValidation>
    <dataValidation type="list" sqref="X12" allowBlank="true" errorStyle="stop">
      <formula1>"Hayır,Evet"</formula1>
    </dataValidation>
    <dataValidation type="list" sqref="X13" allowBlank="true" errorStyle="stop">
      <formula1>"Hayır,Evet"</formula1>
    </dataValidation>
    <dataValidation type="list" sqref="X14" allowBlank="true" errorStyle="stop">
      <formula1>"Hayır,Evet"</formula1>
    </dataValidation>
    <dataValidation type="list" sqref="X15" allowBlank="true" errorStyle="stop">
      <formula1>"Hayır,Evet"</formula1>
    </dataValidation>
    <dataValidation type="list" sqref="X16" allowBlank="true" errorStyle="stop">
      <formula1>"Hayır,Evet"</formula1>
    </dataValidation>
    <dataValidation type="list" sqref="X17" allowBlank="true" errorStyle="stop">
      <formula1>"Hayır,Evet"</formula1>
    </dataValidation>
    <dataValidation type="list" sqref="X18" allowBlank="true" errorStyle="stop">
      <formula1>"Hayır,Evet"</formula1>
    </dataValidation>
    <dataValidation type="list" sqref="X19" allowBlank="true" errorStyle="stop">
      <formula1>"Hayır,Evet"</formula1>
    </dataValidation>
    <dataValidation type="list" sqref="X20" allowBlank="true" errorStyle="stop">
      <formula1>"Hayır,Evet"</formula1>
    </dataValidation>
    <dataValidation type="list" sqref="X21" allowBlank="true" errorStyle="stop">
      <formula1>"Hayır,Evet"</formula1>
    </dataValidation>
    <dataValidation type="list" sqref="X22" allowBlank="true" errorStyle="stop">
      <formula1>"Hayır,Evet"</formula1>
    </dataValidation>
    <dataValidation type="list" sqref="X23" allowBlank="true" errorStyle="stop">
      <formula1>"Hayır,Evet"</formula1>
    </dataValidation>
    <dataValidation type="list" sqref="X24" allowBlank="true" errorStyle="stop">
      <formula1>"Hayır,Evet"</formula1>
    </dataValidation>
    <dataValidation type="list" sqref="X25" allowBlank="true" errorStyle="stop">
      <formula1>"Hayır,Evet"</formula1>
    </dataValidation>
    <dataValidation type="list" sqref="X26" allowBlank="true" errorStyle="stop">
      <formula1>"Hayır,Evet"</formula1>
    </dataValidation>
    <dataValidation type="list" sqref="X27" allowBlank="true" errorStyle="stop">
      <formula1>"Hayır,Evet"</formula1>
    </dataValidation>
    <dataValidation type="list" sqref="X28" allowBlank="true" errorStyle="stop">
      <formula1>"Hayır,Evet"</formula1>
    </dataValidation>
    <dataValidation type="list" sqref="X29" allowBlank="true" errorStyle="stop">
      <formula1>"Hayır,Evet"</formula1>
    </dataValidation>
    <dataValidation type="list" sqref="X30" allowBlank="true" errorStyle="stop">
      <formula1>"Hayır,Evet"</formula1>
    </dataValidation>
    <dataValidation type="list" sqref="X31" allowBlank="true" errorStyle="stop">
      <formula1>"Hayır,Evet"</formula1>
    </dataValidation>
    <dataValidation type="list" sqref="X32" allowBlank="true" errorStyle="stop">
      <formula1>"Hayır,Evet"</formula1>
    </dataValidation>
    <dataValidation type="list" sqref="X33" allowBlank="true" errorStyle="stop">
      <formula1>"Hayır,Evet"</formula1>
    </dataValidation>
    <dataValidation type="list" sqref="X34" allowBlank="true" errorStyle="stop">
      <formula1>"Hayır,Evet"</formula1>
    </dataValidation>
    <dataValidation type="list" sqref="X35" allowBlank="true" errorStyle="stop">
      <formula1>"Hayır,Evet"</formula1>
    </dataValidation>
    <dataValidation type="list" sqref="X36" allowBlank="true" errorStyle="stop">
      <formula1>"Hayır,Evet"</formula1>
    </dataValidation>
    <dataValidation type="list" sqref="X37" allowBlank="true" errorStyle="stop">
      <formula1>"Hayır,Evet"</formula1>
    </dataValidation>
    <dataValidation type="list" sqref="X38" allowBlank="true" errorStyle="stop">
      <formula1>"Hayır,Evet"</formula1>
    </dataValidation>
    <dataValidation type="list" sqref="X39" allowBlank="true" errorStyle="stop">
      <formula1>"Hayır,Evet"</formula1>
    </dataValidation>
    <dataValidation type="list" sqref="X40" allowBlank="true" errorStyle="stop">
      <formula1>"Hayır,Evet"</formula1>
    </dataValidation>
    <dataValidation type="list" sqref="X41" allowBlank="true" errorStyle="stop">
      <formula1>"Hayır,Evet"</formula1>
    </dataValidation>
    <dataValidation type="list" sqref="X42" allowBlank="true" errorStyle="stop">
      <formula1>"Hayır,Evet"</formula1>
    </dataValidation>
    <dataValidation type="list" sqref="X43" allowBlank="true" errorStyle="stop">
      <formula1>"Hayır,Evet"</formula1>
    </dataValidation>
    <dataValidation type="list" sqref="X44" allowBlank="true" errorStyle="stop">
      <formula1>"Hayır,Evet"</formula1>
    </dataValidation>
    <dataValidation type="list" sqref="X45" allowBlank="true" errorStyle="stop">
      <formula1>"Hayır,Evet"</formula1>
    </dataValidation>
    <dataValidation type="list" sqref="X46" allowBlank="true" errorStyle="stop">
      <formula1>"Hayır,Evet"</formula1>
    </dataValidation>
    <dataValidation type="list" sqref="X47" allowBlank="true" errorStyle="stop">
      <formula1>"Hayır,Evet"</formula1>
    </dataValidation>
    <dataValidation type="list" sqref="X48" allowBlank="true" errorStyle="stop">
      <formula1>"Hayır,Evet"</formula1>
    </dataValidation>
    <dataValidation type="list" sqref="X49" allowBlank="true" errorStyle="stop">
      <formula1>"Hayır,Evet"</formula1>
    </dataValidation>
    <dataValidation type="list" sqref="X50" allowBlank="true" errorStyle="stop">
      <formula1>"Hayır,Evet"</formula1>
    </dataValidation>
    <dataValidation type="list" sqref="X51" allowBlank="true" errorStyle="stop">
      <formula1>"Hayır,Evet"</formula1>
    </dataValidation>
    <dataValidation type="list" sqref="X52" allowBlank="true" errorStyle="stop">
      <formula1>"Hayır,Evet"</formula1>
    </dataValidation>
    <dataValidation type="list" sqref="X53" allowBlank="true" errorStyle="stop">
      <formula1>"Hayır,Evet"</formula1>
    </dataValidation>
    <dataValidation type="list" sqref="X54" allowBlank="true" errorStyle="stop">
      <formula1>"Hayır,Evet"</formula1>
    </dataValidation>
    <dataValidation type="list" sqref="X55" allowBlank="true" errorStyle="stop">
      <formula1>"Hayır,Evet"</formula1>
    </dataValidation>
    <dataValidation type="list" sqref="X56" allowBlank="true" errorStyle="stop">
      <formula1>"Hayır,Evet"</formula1>
    </dataValidation>
    <dataValidation type="list" sqref="X57" allowBlank="true" errorStyle="stop">
      <formula1>"Hayır,Evet"</formula1>
    </dataValidation>
    <dataValidation type="list" sqref="X58" allowBlank="true" errorStyle="stop">
      <formula1>"Hayır,Evet"</formula1>
    </dataValidation>
    <dataValidation type="list" sqref="X59" allowBlank="true" errorStyle="stop">
      <formula1>"Hayır,Evet"</formula1>
    </dataValidation>
    <dataValidation type="list" sqref="X60" allowBlank="true" errorStyle="stop">
      <formula1>"Hayır,Evet"</formula1>
    </dataValidation>
    <dataValidation type="list" sqref="X61" allowBlank="true" errorStyle="stop">
      <formula1>"Hayır,Evet"</formula1>
    </dataValidation>
    <dataValidation type="list" sqref="X62" allowBlank="true" errorStyle="stop">
      <formula1>"Hayır,Evet"</formula1>
    </dataValidation>
    <dataValidation type="list" sqref="X63" allowBlank="true" errorStyle="stop">
      <formula1>"Hayır,Evet"</formula1>
    </dataValidation>
    <dataValidation type="list" sqref="X64" allowBlank="true" errorStyle="stop">
      <formula1>"Hayır,Evet"</formula1>
    </dataValidation>
    <dataValidation type="list" sqref="X65" allowBlank="true" errorStyle="stop">
      <formula1>"Hayır,Evet"</formula1>
    </dataValidation>
    <dataValidation type="list" sqref="X66" allowBlank="true" errorStyle="stop">
      <formula1>"Hayır,Evet"</formula1>
    </dataValidation>
    <dataValidation type="list" sqref="X67" allowBlank="true" errorStyle="stop">
      <formula1>"Hayır,Evet"</formula1>
    </dataValidation>
    <dataValidation type="list" sqref="X68" allowBlank="true" errorStyle="stop">
      <formula1>"Hayır,Evet"</formula1>
    </dataValidation>
    <dataValidation type="list" sqref="X69" allowBlank="true" errorStyle="stop">
      <formula1>"Hayır,Evet"</formula1>
    </dataValidation>
    <dataValidation type="list" sqref="X70" allowBlank="true" errorStyle="stop">
      <formula1>"Hayır,Evet"</formula1>
    </dataValidation>
    <dataValidation type="list" sqref="X71" allowBlank="true" errorStyle="stop">
      <formula1>"Hayır,Evet"</formula1>
    </dataValidation>
    <dataValidation type="list" sqref="X72" allowBlank="true" errorStyle="stop">
      <formula1>"Hayır,Evet"</formula1>
    </dataValidation>
    <dataValidation type="list" sqref="X73" allowBlank="true" errorStyle="stop">
      <formula1>"Hayır,Evet"</formula1>
    </dataValidation>
    <dataValidation type="list" sqref="X74" allowBlank="true" errorStyle="stop">
      <formula1>"Hayır,Evet"</formula1>
    </dataValidation>
    <dataValidation type="list" sqref="X75" allowBlank="true" errorStyle="stop">
      <formula1>"Hayır,Evet"</formula1>
    </dataValidation>
    <dataValidation type="list" sqref="X76" allowBlank="true" errorStyle="stop">
      <formula1>"Hayır,Evet"</formula1>
    </dataValidation>
    <dataValidation type="list" sqref="X77" allowBlank="true" errorStyle="stop">
      <formula1>"Hayır,Evet"</formula1>
    </dataValidation>
    <dataValidation type="list" sqref="X78" allowBlank="true" errorStyle="stop">
      <formula1>"Hayır,Evet"</formula1>
    </dataValidation>
    <dataValidation type="list" sqref="X79" allowBlank="true" errorStyle="stop">
      <formula1>"Hayır,Evet"</formula1>
    </dataValidation>
    <dataValidation type="list" sqref="X80" allowBlank="true" errorStyle="stop">
      <formula1>"Hayır,Evet"</formula1>
    </dataValidation>
    <dataValidation type="list" sqref="X81" allowBlank="true" errorStyle="stop">
      <formula1>"Hayır,Evet"</formula1>
    </dataValidation>
    <dataValidation type="list" sqref="X82" allowBlank="true" errorStyle="stop">
      <formula1>"Hayır,Evet"</formula1>
    </dataValidation>
    <dataValidation type="list" sqref="X83" allowBlank="true" errorStyle="stop">
      <formula1>"Hayır,Evet"</formula1>
    </dataValidation>
    <dataValidation type="list" sqref="X84" allowBlank="true" errorStyle="stop">
      <formula1>"Hayır,Evet"</formula1>
    </dataValidation>
    <dataValidation type="list" sqref="X85" allowBlank="true" errorStyle="stop">
      <formula1>"Hayır,Evet"</formula1>
    </dataValidation>
    <dataValidation type="list" sqref="X86" allowBlank="true" errorStyle="stop">
      <formula1>"Hayır,Evet"</formula1>
    </dataValidation>
    <dataValidation type="list" sqref="X87" allowBlank="true" errorStyle="stop">
      <formula1>"Hayır,Evet"</formula1>
    </dataValidation>
    <dataValidation type="list" sqref="X88" allowBlank="true" errorStyle="stop">
      <formula1>"Hayır,Evet"</formula1>
    </dataValidation>
    <dataValidation type="list" sqref="X89" allowBlank="true" errorStyle="stop">
      <formula1>"Hayır,Evet"</formula1>
    </dataValidation>
    <dataValidation type="list" sqref="X90" allowBlank="true" errorStyle="stop">
      <formula1>"Hayır,Evet"</formula1>
    </dataValidation>
    <dataValidation type="list" sqref="X91" allowBlank="true" errorStyle="stop">
      <formula1>"Hayır,Evet"</formula1>
    </dataValidation>
    <dataValidation type="list" sqref="X92" allowBlank="true" errorStyle="stop">
      <formula1>"Hayır,Evet"</formula1>
    </dataValidation>
    <dataValidation type="list" sqref="X93" allowBlank="true" errorStyle="stop">
      <formula1>"Hayır,Evet"</formula1>
    </dataValidation>
    <dataValidation type="list" sqref="X94" allowBlank="true" errorStyle="stop">
      <formula1>"Hayır,Evet"</formula1>
    </dataValidation>
    <dataValidation type="list" sqref="X95" allowBlank="true" errorStyle="stop">
      <formula1>"Hayır,Evet"</formula1>
    </dataValidation>
    <dataValidation type="list" sqref="X96" allowBlank="true" errorStyle="stop">
      <formula1>"Hayır,Evet"</formula1>
    </dataValidation>
    <dataValidation type="list" sqref="X97" allowBlank="true" errorStyle="stop">
      <formula1>"Hayır,Evet"</formula1>
    </dataValidation>
    <dataValidation type="list" sqref="X98" allowBlank="true" errorStyle="stop">
      <formula1>"Hayır,Evet"</formula1>
    </dataValidation>
    <dataValidation type="list" sqref="X99" allowBlank="true" errorStyle="stop">
      <formula1>"Hayır,Evet"</formula1>
    </dataValidation>
    <dataValidation type="list" sqref="X100" allowBlank="true" errorStyle="stop">
      <formula1>"Hayır,Evet"</formula1>
    </dataValidation>
    <dataValidation type="list" sqref="X101" allowBlank="true" errorStyle="stop">
      <formula1>"Hayır,Evet"</formula1>
    </dataValidation>
    <dataValidation type="list" sqref="X102" allowBlank="true" errorStyle="stop">
      <formula1>"Hayır,Evet"</formula1>
    </dataValidation>
    <dataValidation type="list" sqref="X103" allowBlank="true" errorStyle="stop">
      <formula1>"Hayır,Evet"</formula1>
    </dataValidation>
    <dataValidation type="list" sqref="X104" allowBlank="true" errorStyle="stop">
      <formula1>"Hayır,Evet"</formula1>
    </dataValidation>
    <dataValidation type="list" sqref="X105" allowBlank="true" errorStyle="stop">
      <formula1>"Hayır,Evet"</formula1>
    </dataValidation>
    <dataValidation type="list" sqref="X106" allowBlank="true" errorStyle="stop">
      <formula1>"Hayır,Evet"</formula1>
    </dataValidation>
    <dataValidation type="list" sqref="X107" allowBlank="true" errorStyle="stop">
      <formula1>"Hayır,Evet"</formula1>
    </dataValidation>
    <dataValidation type="list" sqref="X108" allowBlank="true" errorStyle="stop">
      <formula1>"Hayır,Evet"</formula1>
    </dataValidation>
    <dataValidation type="list" sqref="X109" allowBlank="true" errorStyle="stop">
      <formula1>"Hayır,Evet"</formula1>
    </dataValidation>
    <dataValidation type="list" sqref="X110" allowBlank="true" errorStyle="stop">
      <formula1>"Hayır,Evet"</formula1>
    </dataValidation>
    <dataValidation type="list" sqref="X111" allowBlank="true" errorStyle="stop">
      <formula1>"Hayır,Evet"</formula1>
    </dataValidation>
    <dataValidation type="list" sqref="X112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2026-03-05T00:16:02Z</dcterms:created>
  <dc:creator>Apache POI</dc:creator>
</cp:coreProperties>
</file>