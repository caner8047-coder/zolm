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lus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8">
    <fill>
      <patternFill patternType="none"/>
    </fill>
    <fill>
      <patternFill patternType="darkGray"/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B6D7A8"/>
      </patternFill>
    </fill>
    <fill>
      <patternFill patternType="solid">
        <fgColor rgb="B6D7A8"/>
      </patternFill>
    </fill>
    <fill>
      <patternFill patternType="none">
        <fgColor rgb="EDEDED"/>
      </patternFill>
    </fill>
    <fill>
      <patternFill patternType="solid">
        <fgColor rgb="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2" fontId="1" fillId="5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2" fontId="2" fillId="7" borderId="4" xfId="0" applyFont="true" applyFill="true" applyBorder="true" applyAlignment="true" applyNumberForma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  <xf numFmtId="0" fontId="2" fillId="7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12"/>
  <sheetViews>
    <sheetView workbookViewId="0" tabSelected="true"/>
  </sheetViews>
  <sheetFormatPr defaultRowHeight="15.0"/>
  <cols>
    <col min="1" max="1" width="26.0" customWidth="true"/>
    <col min="2" max="2" width="0.0" customWidth="true"/>
    <col min="3" max="3" width="18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2.0" customWidth="true"/>
    <col min="19" max="19" width="0.0" customWidth="true"/>
    <col min="20" max="20" width="0.0" customWidth="true"/>
  </cols>
  <sheetData>
    <row r="1">
      <c r="A1" s="1" t="inlineStr">
        <is>
          <t>Ürün İsmi</t>
        </is>
      </c>
      <c r="B1" s="2" t="inlineStr">
        <is>
          <t>Ürün Id</t>
        </is>
      </c>
      <c r="C1" s="3" t="inlineStr">
        <is>
          <t>Barkod</t>
        </is>
      </c>
      <c r="D1" s="4" t="inlineStr">
        <is>
          <t>Satıcı Stok Kodu</t>
        </is>
      </c>
      <c r="E1" s="5" t="inlineStr">
        <is>
          <t>Beden</t>
        </is>
      </c>
      <c r="F1" s="6" t="inlineStr">
        <is>
          <t>Model Kodu</t>
        </is>
      </c>
      <c r="G1" s="7" t="inlineStr">
        <is>
          <t>Kategori</t>
        </is>
      </c>
      <c r="H1" s="8" t="inlineStr">
        <is>
          <t>Marka</t>
        </is>
      </c>
      <c r="I1" s="9" t="inlineStr">
        <is>
          <t>Stok</t>
        </is>
      </c>
      <c r="J1" s="10" t="inlineStr">
        <is>
          <t>Güncel TSF</t>
        </is>
      </c>
      <c r="K1" s="11" t="inlineStr">
        <is>
          <t>Komisyona Esas Fiyat</t>
        </is>
      </c>
      <c r="L1" s="12" t="inlineStr">
        <is>
          <t>Güncel Komisyon</t>
        </is>
      </c>
      <c r="M1" s="13" t="inlineStr">
        <is>
          <t>Plus Fiyat Üst Limiti</t>
        </is>
      </c>
      <c r="N1" s="14" t="inlineStr">
        <is>
          <t>Plus Komisyon Teklifi</t>
        </is>
      </c>
      <c r="O1" s="15" t="inlineStr">
        <is>
          <t>Plus Komisyona Esas Fiyatı</t>
        </is>
      </c>
      <c r="P1" s="16" t="inlineStr">
        <is>
          <t>Plus Fiyat Seçimi</t>
        </is>
      </c>
      <c r="Q1" s="17" t="inlineStr">
        <is>
          <t>Hesaplanan Komisyon</t>
        </is>
      </c>
      <c r="R1" s="18" t="inlineStr">
        <is>
          <t>İptal</t>
        </is>
      </c>
      <c r="S1" s="19" t="inlineStr">
        <is>
          <t>External Id</t>
        </is>
      </c>
      <c r="T1" s="20" t="inlineStr">
        <is>
          <t>Tarife Grubu</t>
        </is>
      </c>
    </row>
    <row r="2">
      <c r="A2" s="21" t="inlineStr">
        <is>
          <t>Lines Puf, Teddy Kumaş Kırık Beyaz</t>
        </is>
      </c>
      <c r="B2" s="22" t="inlineStr">
        <is>
          <t>286823139</t>
        </is>
      </c>
      <c r="C2" s="23" t="inlineStr">
        <is>
          <t>87874848484848484</t>
        </is>
      </c>
      <c r="D2" s="24" t="inlineStr">
        <is>
          <t>1PUFZEM00390</t>
        </is>
      </c>
      <c r="E2" s="25" t="inlineStr">
        <is>
          <t>Tek Ebat</t>
        </is>
      </c>
      <c r="F2" s="26" t="inlineStr">
        <is>
          <t>ZEMLİNES</t>
        </is>
      </c>
      <c r="G2" s="27" t="inlineStr">
        <is>
          <t>Puf &amp; Bench</t>
        </is>
      </c>
      <c r="H2" s="28" t="inlineStr">
        <is>
          <t>Zem</t>
        </is>
      </c>
      <c r="I2" s="29" t="n">
        <v>2091.0</v>
      </c>
      <c r="J2" s="30" t="n">
        <v>1099.9</v>
      </c>
      <c r="K2" s="31" t="n">
        <v>1099.9</v>
      </c>
      <c r="L2" s="32" t="n">
        <v>21.0</v>
      </c>
      <c r="M2" s="33" t="n">
        <v>760.46</v>
      </c>
      <c r="N2" s="34" t="n">
        <v>2.7</v>
      </c>
      <c r="O2" s="35" t="n">
        <v>1099.9</v>
      </c>
      <c r="P2" s="36"/>
      <c r="Q2" s="37" t="n">
        <f>=IF(AND(P2&lt;&gt;"", M2&lt;&gt;"", P2&lt;=M2), N2, "-")</f>
        <v>0.0</v>
      </c>
      <c r="R2" s="38" t="str">
        <f>=IF(ISBLANK(P2), "", "Hayır")</f>
      </c>
      <c r="S2" s="39"/>
      <c r="T2" s="40" t="inlineStr">
        <is>
          <t>0ccce5da-14ad-4788-8cbf-ed98d2216bae</t>
        </is>
      </c>
    </row>
    <row r="3">
      <c r="A3" s="21" t="inlineStr">
        <is>
          <t>Long Line Puf, Kırık Beyaz Gold</t>
        </is>
      </c>
      <c r="B3" s="22" t="inlineStr">
        <is>
          <t>76241080</t>
        </is>
      </c>
      <c r="C3" s="23" t="inlineStr">
        <is>
          <t>8898777ZE3039</t>
        </is>
      </c>
      <c r="D3" s="24" t="inlineStr">
        <is>
          <t>1PUFZEM00083</t>
        </is>
      </c>
      <c r="E3" s="25" t="inlineStr">
        <is>
          <t>Tek Ebat</t>
        </is>
      </c>
      <c r="F3" s="26" t="inlineStr">
        <is>
          <t>ZEMLONGLİNE</t>
        </is>
      </c>
      <c r="G3" s="27" t="inlineStr">
        <is>
          <t>Puf &amp; Bench</t>
        </is>
      </c>
      <c r="H3" s="28" t="inlineStr">
        <is>
          <t>Zem</t>
        </is>
      </c>
      <c r="I3" s="29" t="n">
        <v>2745.0</v>
      </c>
      <c r="J3" s="30" t="n">
        <v>1199.9</v>
      </c>
      <c r="K3" s="31" t="n">
        <v>1030.33</v>
      </c>
      <c r="L3" s="32" t="n">
        <v>15.4</v>
      </c>
      <c r="M3" s="33" t="n">
        <v>802.65</v>
      </c>
      <c r="N3" s="34" t="n">
        <v>2.7</v>
      </c>
      <c r="O3" s="35" t="n">
        <v>1030.33</v>
      </c>
      <c r="P3" s="36"/>
      <c r="Q3" s="37" t="n">
        <f>=IF(AND(P3&lt;&gt;"", M3&lt;&gt;"", P3&lt;=M3), N3, "-")</f>
        <v>0.0</v>
      </c>
      <c r="R3" s="38" t="str">
        <f>=IF(ISBLANK(P3), "", "Hayır")</f>
      </c>
      <c r="S3" s="39"/>
      <c r="T3" s="40" t="inlineStr">
        <is>
          <t>0ccce5da-14ad-4788-8cbf-ed98d2216bae</t>
        </is>
      </c>
    </row>
    <row r="4">
      <c r="A4" s="21" t="inlineStr">
        <is>
          <t>Ola Bohem Puf, Gri</t>
        </is>
      </c>
      <c r="B4" s="22" t="inlineStr">
        <is>
          <t>1097374757</t>
        </is>
      </c>
      <c r="C4" s="23" t="inlineStr">
        <is>
          <t>19077892005</t>
        </is>
      </c>
      <c r="D4" s="24" t="inlineStr">
        <is>
          <t>1PUFZEM00651</t>
        </is>
      </c>
      <c r="E4" s="25" t="inlineStr">
        <is>
          <t>Tek Ebat</t>
        </is>
      </c>
      <c r="F4" s="26" t="inlineStr">
        <is>
          <t>ZEMOLA</t>
        </is>
      </c>
      <c r="G4" s="27" t="inlineStr">
        <is>
          <t>Puf &amp; Bench</t>
        </is>
      </c>
      <c r="H4" s="28" t="inlineStr">
        <is>
          <t>Zem</t>
        </is>
      </c>
      <c r="I4" s="29" t="n">
        <v>465.0</v>
      </c>
      <c r="J4" s="30" t="n">
        <v>1099.9</v>
      </c>
      <c r="K4" s="31" t="n">
        <v>1031.25</v>
      </c>
      <c r="L4" s="32" t="n">
        <v>15.8</v>
      </c>
      <c r="M4" s="33" t="n">
        <v>795.35</v>
      </c>
      <c r="N4" s="34" t="n">
        <v>2.7</v>
      </c>
      <c r="O4" s="35" t="n">
        <v>1031.25</v>
      </c>
      <c r="P4" s="36"/>
      <c r="Q4" s="37" t="n">
        <f>=IF(AND(P4&lt;&gt;"", M4&lt;&gt;"", P4&lt;=M4), N4, "-")</f>
        <v>0.0</v>
      </c>
      <c r="R4" s="38" t="str">
        <f>=IF(ISBLANK(P4), "", "Hayır")</f>
      </c>
      <c r="S4" s="39"/>
      <c r="T4" s="40" t="inlineStr">
        <is>
          <t>0ccce5da-14ad-4788-8cbf-ed98d2216bae</t>
        </is>
      </c>
    </row>
    <row r="5">
      <c r="A5" s="21" t="inlineStr">
        <is>
          <t>Lines Puf, Teddy Kumaş Gri</t>
        </is>
      </c>
      <c r="B5" s="22" t="inlineStr">
        <is>
          <t>286826572</t>
        </is>
      </c>
      <c r="C5" s="23" t="inlineStr">
        <is>
          <t>54854846322121</t>
        </is>
      </c>
      <c r="D5" s="24" t="inlineStr">
        <is>
          <t>1PUFZEM00388</t>
        </is>
      </c>
      <c r="E5" s="25" t="inlineStr">
        <is>
          <t>Tek Ebat</t>
        </is>
      </c>
      <c r="F5" s="26" t="inlineStr">
        <is>
          <t>ZEMLİNES</t>
        </is>
      </c>
      <c r="G5" s="27" t="inlineStr">
        <is>
          <t>Puf &amp; Bench</t>
        </is>
      </c>
      <c r="H5" s="28" t="inlineStr">
        <is>
          <t>Zem</t>
        </is>
      </c>
      <c r="I5" s="29" t="n">
        <v>4041.0</v>
      </c>
      <c r="J5" s="30" t="n">
        <v>1099.9</v>
      </c>
      <c r="K5" s="31" t="n">
        <v>1099.9</v>
      </c>
      <c r="L5" s="32" t="n">
        <v>21.0</v>
      </c>
      <c r="M5" s="33" t="n">
        <v>696.57</v>
      </c>
      <c r="N5" s="34" t="n">
        <v>2.7</v>
      </c>
      <c r="O5" s="35" t="n">
        <v>1099.9</v>
      </c>
      <c r="P5" s="36"/>
      <c r="Q5" s="37" t="n">
        <f>=IF(AND(P5&lt;&gt;"", M5&lt;&gt;"", P5&lt;=M5), N5, "-")</f>
        <v>0.0</v>
      </c>
      <c r="R5" s="38" t="str">
        <f>=IF(ISBLANK(P5), "", "Hayır")</f>
      </c>
      <c r="S5" s="39"/>
      <c r="T5" s="40" t="inlineStr">
        <is>
          <t>0ccce5da-14ad-4788-8cbf-ed98d2216bae</t>
        </is>
      </c>
    </row>
    <row r="6">
      <c r="A6" s="21" t="inlineStr">
        <is>
          <t>Ridge Puf, Teddy Kumaş Kırık Beyaz Gold</t>
        </is>
      </c>
      <c r="B6" s="22" t="inlineStr">
        <is>
          <t>225922806</t>
        </is>
      </c>
      <c r="C6" s="23" t="inlineStr">
        <is>
          <t>144598597745656</t>
        </is>
      </c>
      <c r="D6" s="24" t="inlineStr">
        <is>
          <t>1PUFZEM00308</t>
        </is>
      </c>
      <c r="E6" s="25" t="inlineStr">
        <is>
          <t>Tek Ebat</t>
        </is>
      </c>
      <c r="F6" s="26" t="inlineStr">
        <is>
          <t>TYC00345881990</t>
        </is>
      </c>
      <c r="G6" s="27" t="inlineStr">
        <is>
          <t>Puf &amp; Bench</t>
        </is>
      </c>
      <c r="H6" s="28" t="inlineStr">
        <is>
          <t>Zem</t>
        </is>
      </c>
      <c r="I6" s="29" t="n">
        <v>8.0</v>
      </c>
      <c r="J6" s="30" t="n">
        <v>1579.9</v>
      </c>
      <c r="K6" s="31" t="n">
        <v>1579.9</v>
      </c>
      <c r="L6" s="32" t="n">
        <v>21.0</v>
      </c>
      <c r="M6" s="33" t="n">
        <v>1109.37</v>
      </c>
      <c r="N6" s="34" t="n">
        <v>2.7</v>
      </c>
      <c r="O6" s="35" t="n">
        <v>1579.9</v>
      </c>
      <c r="P6" s="36"/>
      <c r="Q6" s="37" t="n">
        <f>=IF(AND(P6&lt;&gt;"", M6&lt;&gt;"", P6&lt;=M6), N6, "-")</f>
        <v>0.0</v>
      </c>
      <c r="R6" s="38" t="str">
        <f>=IF(ISBLANK(P6), "", "Hayır")</f>
      </c>
      <c r="S6" s="39"/>
      <c r="T6" s="40" t="inlineStr">
        <is>
          <t>0ccce5da-14ad-4788-8cbf-ed98d2216bae</t>
        </is>
      </c>
    </row>
    <row r="7">
      <c r="A7" s="21" t="inlineStr">
        <is>
          <t>Lines Puf ,teddy Kumaş Sütlü Kahve</t>
        </is>
      </c>
      <c r="B7" s="22" t="inlineStr">
        <is>
          <t>866686578</t>
        </is>
      </c>
      <c r="C7" s="23" t="inlineStr">
        <is>
          <t>1907584520</t>
        </is>
      </c>
      <c r="D7" s="24" t="inlineStr">
        <is>
          <t>1PUFZEM00610</t>
        </is>
      </c>
      <c r="E7" s="25" t="inlineStr">
        <is>
          <t>Tek Ebat</t>
        </is>
      </c>
      <c r="F7" s="26" t="inlineStr">
        <is>
          <t>ZEMLİNES</t>
        </is>
      </c>
      <c r="G7" s="27" t="inlineStr">
        <is>
          <t>Puf &amp; Bench</t>
        </is>
      </c>
      <c r="H7" s="28" t="inlineStr">
        <is>
          <t>Zem</t>
        </is>
      </c>
      <c r="I7" s="29" t="n">
        <v>904.0</v>
      </c>
      <c r="J7" s="30" t="n">
        <v>1099.9</v>
      </c>
      <c r="K7" s="31" t="n">
        <v>1099.9</v>
      </c>
      <c r="L7" s="32" t="n">
        <v>21.0</v>
      </c>
      <c r="M7" s="33" t="n">
        <v>761.72</v>
      </c>
      <c r="N7" s="34" t="n">
        <v>2.7</v>
      </c>
      <c r="O7" s="35" t="n">
        <v>1099.9</v>
      </c>
      <c r="P7" s="36"/>
      <c r="Q7" s="37" t="n">
        <f>=IF(AND(P7&lt;&gt;"", M7&lt;&gt;"", P7&lt;=M7), N7, "-")</f>
        <v>0.0</v>
      </c>
      <c r="R7" s="38" t="str">
        <f>=IF(ISBLANK(P7), "", "Hayır")</f>
      </c>
      <c r="S7" s="39"/>
      <c r="T7" s="40" t="inlineStr">
        <is>
          <t>0ccce5da-14ad-4788-8cbf-ed98d2216bae</t>
        </is>
      </c>
    </row>
    <row r="8">
      <c r="A8" s="21" t="inlineStr">
        <is>
          <t>Marin Puf, Beyaz Welsoft Kumaş</t>
        </is>
      </c>
      <c r="B8" s="22" t="inlineStr">
        <is>
          <t>308858066</t>
        </is>
      </c>
      <c r="C8" s="23" t="inlineStr">
        <is>
          <t>877499844645466</t>
        </is>
      </c>
      <c r="D8" s="24" t="inlineStr">
        <is>
          <t>1PUFZEM00463</t>
        </is>
      </c>
      <c r="E8" s="25" t="inlineStr">
        <is>
          <t>Tek Ebat</t>
        </is>
      </c>
      <c r="F8" s="26" t="inlineStr">
        <is>
          <t>ZEMMARIN</t>
        </is>
      </c>
      <c r="G8" s="27" t="inlineStr">
        <is>
          <t>Puf &amp; Bench</t>
        </is>
      </c>
      <c r="H8" s="28" t="inlineStr">
        <is>
          <t>Zem</t>
        </is>
      </c>
      <c r="I8" s="29" t="n">
        <v>587.0</v>
      </c>
      <c r="J8" s="30" t="n">
        <v>1579.9</v>
      </c>
      <c r="K8" s="31" t="n">
        <v>1416.1</v>
      </c>
      <c r="L8" s="32" t="n">
        <v>15.8</v>
      </c>
      <c r="M8" s="33" t="n">
        <v>1132.38</v>
      </c>
      <c r="N8" s="34" t="n">
        <v>3.7</v>
      </c>
      <c r="O8" s="35" t="n">
        <v>1416.1</v>
      </c>
      <c r="P8" s="36"/>
      <c r="Q8" s="37" t="n">
        <f>=IF(AND(P8&lt;&gt;"", M8&lt;&gt;"", P8&lt;=M8), N8, "-")</f>
        <v>0.0</v>
      </c>
      <c r="R8" s="38" t="str">
        <f>=IF(ISBLANK(P8), "", "Hayır")</f>
      </c>
      <c r="S8" s="39"/>
      <c r="T8" s="40" t="inlineStr">
        <is>
          <t>0ccce5da-14ad-4788-8cbf-ed98d2216bae</t>
        </is>
      </c>
    </row>
    <row r="9">
      <c r="A9" s="21" t="inlineStr">
        <is>
          <t>Legna Bohem Kanepe, Açık Krem</t>
        </is>
      </c>
      <c r="B9" s="22" t="inlineStr">
        <is>
          <t>983971677</t>
        </is>
      </c>
      <c r="C9" s="23" t="inlineStr">
        <is>
          <t>1907454552</t>
        </is>
      </c>
      <c r="D9" s="24" t="inlineStr">
        <is>
          <t>1KNPZEM00178</t>
        </is>
      </c>
      <c r="E9" s="25" t="inlineStr">
        <is>
          <t>Tek Ebat</t>
        </is>
      </c>
      <c r="F9" s="26" t="inlineStr">
        <is>
          <t>ZEMLEGNA</t>
        </is>
      </c>
      <c r="G9" s="27" t="inlineStr">
        <is>
          <t>Kanepe</t>
        </is>
      </c>
      <c r="H9" s="28" t="inlineStr">
        <is>
          <t>Zem</t>
        </is>
      </c>
      <c r="I9" s="29" t="n">
        <v>288.0</v>
      </c>
      <c r="J9" s="30" t="n">
        <v>10899.9</v>
      </c>
      <c r="K9" s="31" t="n">
        <v>10132.09</v>
      </c>
      <c r="L9" s="32" t="n">
        <v>14.4</v>
      </c>
      <c r="M9" s="33" t="n">
        <v>8586.18</v>
      </c>
      <c r="N9" s="34" t="n">
        <v>4.7</v>
      </c>
      <c r="O9" s="35" t="n">
        <v>10132.09</v>
      </c>
      <c r="P9" s="36"/>
      <c r="Q9" s="37" t="n">
        <f>=IF(AND(P9&lt;&gt;"", M9&lt;&gt;"", P9&lt;=M9), N9, "-")</f>
        <v>0.0</v>
      </c>
      <c r="R9" s="38" t="str">
        <f>=IF(ISBLANK(P9), "", "Hayır")</f>
      </c>
      <c r="S9" s="39"/>
      <c r="T9" s="40" t="inlineStr">
        <is>
          <t>0ccce5da-14ad-4788-8cbf-ed98d2216bae</t>
        </is>
      </c>
    </row>
    <row r="10">
      <c r="A10" s="21" t="inlineStr">
        <is>
          <t>Şila Bench Beyaz Peluş - Gold Ayaklı 90 Cm</t>
        </is>
      </c>
      <c r="B10" s="22" t="inlineStr">
        <is>
          <t>85511607</t>
        </is>
      </c>
      <c r="C10" s="23" t="inlineStr">
        <is>
          <t>768895542014</t>
        </is>
      </c>
      <c r="D10" s="24" t="inlineStr">
        <is>
          <t>1BNCZEM00001</t>
        </is>
      </c>
      <c r="E10" s="25" t="inlineStr">
        <is>
          <t>Tek Ebat</t>
        </is>
      </c>
      <c r="F10" s="26" t="inlineStr">
        <is>
          <t>ZEMSİLA01</t>
        </is>
      </c>
      <c r="G10" s="27" t="inlineStr">
        <is>
          <t>Puf &amp; Bench</t>
        </is>
      </c>
      <c r="H10" s="28" t="inlineStr">
        <is>
          <t>Zem</t>
        </is>
      </c>
      <c r="I10" s="29" t="n">
        <v>3668.0</v>
      </c>
      <c r="J10" s="30" t="n">
        <v>1819.9</v>
      </c>
      <c r="K10" s="31" t="n">
        <v>1819.9</v>
      </c>
      <c r="L10" s="32" t="n">
        <v>21.0</v>
      </c>
      <c r="M10" s="33" t="n">
        <v>1240.44</v>
      </c>
      <c r="N10" s="34" t="n">
        <v>2.7</v>
      </c>
      <c r="O10" s="35" t="n">
        <v>1819.9</v>
      </c>
      <c r="P10" s="36"/>
      <c r="Q10" s="37" t="n">
        <f>=IF(AND(P10&lt;&gt;"", M10&lt;&gt;"", P10&lt;=M10), N10, "-")</f>
        <v>0.0</v>
      </c>
      <c r="R10" s="38" t="str">
        <f>=IF(ISBLANK(P10), "", "Hayır")</f>
      </c>
      <c r="S10" s="39"/>
      <c r="T10" s="40" t="inlineStr">
        <is>
          <t>0ccce5da-14ad-4788-8cbf-ed98d2216bae</t>
        </is>
      </c>
    </row>
    <row r="11">
      <c r="A11" s="21" t="inlineStr">
        <is>
          <t>Lines Puf, Teddy Kumaş Siyah</t>
        </is>
      </c>
      <c r="B11" s="22" t="inlineStr">
        <is>
          <t>286834801</t>
        </is>
      </c>
      <c r="C11" s="23" t="inlineStr">
        <is>
          <t>659858849964544</t>
        </is>
      </c>
      <c r="D11" s="24" t="inlineStr">
        <is>
          <t>1PUFZEM00376</t>
        </is>
      </c>
      <c r="E11" s="25" t="inlineStr">
        <is>
          <t>Tek Ebat</t>
        </is>
      </c>
      <c r="F11" s="26" t="inlineStr">
        <is>
          <t>ZEMLİNES</t>
        </is>
      </c>
      <c r="G11" s="27" t="inlineStr">
        <is>
          <t>Puf &amp; Bench</t>
        </is>
      </c>
      <c r="H11" s="28" t="inlineStr">
        <is>
          <t>Zem</t>
        </is>
      </c>
      <c r="I11" s="29" t="n">
        <v>952.0</v>
      </c>
      <c r="J11" s="30" t="n">
        <v>1099.9</v>
      </c>
      <c r="K11" s="31" t="n">
        <v>1099.9</v>
      </c>
      <c r="L11" s="32" t="n">
        <v>21.0</v>
      </c>
      <c r="M11" s="33" t="n">
        <v>705.0</v>
      </c>
      <c r="N11" s="34" t="n">
        <v>2.7</v>
      </c>
      <c r="O11" s="35" t="n">
        <v>1099.9</v>
      </c>
      <c r="P11" s="36"/>
      <c r="Q11" s="37" t="n">
        <f>=IF(AND(P11&lt;&gt;"", M11&lt;&gt;"", P11&lt;=M11), N11, "-")</f>
        <v>0.0</v>
      </c>
      <c r="R11" s="38" t="str">
        <f>=IF(ISBLANK(P11), "", "Hayır")</f>
      </c>
      <c r="S11" s="39"/>
      <c r="T11" s="40" t="inlineStr">
        <is>
          <t>0ccce5da-14ad-4788-8cbf-ed98d2216bae</t>
        </is>
      </c>
    </row>
    <row r="12">
      <c r="A12" s="21" t="inlineStr">
        <is>
          <t>Long Line Grey - Silver Puf</t>
        </is>
      </c>
      <c r="B12" s="22" t="inlineStr">
        <is>
          <t>75576303</t>
        </is>
      </c>
      <c r="C12" s="23" t="inlineStr">
        <is>
          <t>85ZEM65214572</t>
        </is>
      </c>
      <c r="D12" s="24" t="inlineStr">
        <is>
          <t>1PUFZEM00081</t>
        </is>
      </c>
      <c r="E12" s="25" t="inlineStr">
        <is>
          <t>Tek Ebat</t>
        </is>
      </c>
      <c r="F12" s="26" t="inlineStr">
        <is>
          <t>ZEMLONGLİNE</t>
        </is>
      </c>
      <c r="G12" s="27" t="inlineStr">
        <is>
          <t>Puf &amp; Bench</t>
        </is>
      </c>
      <c r="H12" s="28" t="inlineStr">
        <is>
          <t>Zem</t>
        </is>
      </c>
      <c r="I12" s="29" t="n">
        <v>961.0</v>
      </c>
      <c r="J12" s="30" t="n">
        <v>1199.9</v>
      </c>
      <c r="K12" s="31" t="n">
        <v>1199.9</v>
      </c>
      <c r="L12" s="32" t="n">
        <v>21.0</v>
      </c>
      <c r="M12" s="33" t="n">
        <v>799.5</v>
      </c>
      <c r="N12" s="34" t="n">
        <v>2.7</v>
      </c>
      <c r="O12" s="35" t="n">
        <v>1199.9</v>
      </c>
      <c r="P12" s="36"/>
      <c r="Q12" s="37" t="n">
        <f>=IF(AND(P12&lt;&gt;"", M12&lt;&gt;"", P12&lt;=M12), N12, "-")</f>
        <v>0.0</v>
      </c>
      <c r="R12" s="38" t="str">
        <f>=IF(ISBLANK(P12), "", "Hayır")</f>
      </c>
      <c r="S12" s="39"/>
      <c r="T12" s="40" t="inlineStr">
        <is>
          <t>0ccce5da-14ad-4788-8cbf-ed98d2216bae</t>
        </is>
      </c>
    </row>
    <row r="13">
      <c r="A13" s="21" t="inlineStr">
        <is>
          <t>Legna Bohem Köşe Takımı, Açık Krem</t>
        </is>
      </c>
      <c r="B13" s="22" t="inlineStr">
        <is>
          <t>1001737982</t>
        </is>
      </c>
      <c r="C13" s="23" t="inlineStr">
        <is>
          <t>1907454501</t>
        </is>
      </c>
      <c r="D13" s="24" t="inlineStr">
        <is>
          <t>1KŞTZEM00039</t>
        </is>
      </c>
      <c r="E13" s="25" t="inlineStr">
        <is>
          <t>Tek Ebat</t>
        </is>
      </c>
      <c r="F13" s="26" t="inlineStr">
        <is>
          <t>ZEMKŞLG</t>
        </is>
      </c>
      <c r="G13" s="27" t="inlineStr">
        <is>
          <t>Köşe Takımı</t>
        </is>
      </c>
      <c r="H13" s="28" t="inlineStr">
        <is>
          <t>Zem</t>
        </is>
      </c>
      <c r="I13" s="29" t="n">
        <v>376.0</v>
      </c>
      <c r="J13" s="30" t="n">
        <v>14599.9</v>
      </c>
      <c r="K13" s="31" t="n">
        <v>14449.9</v>
      </c>
      <c r="L13" s="32" t="n">
        <v>19.0</v>
      </c>
      <c r="M13" s="33" t="n">
        <v>11348.49</v>
      </c>
      <c r="N13" s="34" t="n">
        <v>4.9</v>
      </c>
      <c r="O13" s="35" t="n">
        <v>14449.9</v>
      </c>
      <c r="P13" s="36"/>
      <c r="Q13" s="37" t="n">
        <f>=IF(AND(P13&lt;&gt;"", M13&lt;&gt;"", P13&lt;=M13), N13, "-")</f>
        <v>0.0</v>
      </c>
      <c r="R13" s="38" t="str">
        <f>=IF(ISBLANK(P13), "", "Hayır")</f>
      </c>
      <c r="S13" s="39"/>
      <c r="T13" s="40" t="inlineStr">
        <is>
          <t>0ccce5da-14ad-4788-8cbf-ed98d2216bae</t>
        </is>
      </c>
    </row>
    <row r="14">
      <c r="A14" s="21" t="inlineStr">
        <is>
          <t>Scala Sandıklı Bohem Ahşap Ayaklı Puf/Bench, Sütlü Kahve</t>
        </is>
      </c>
      <c r="B14" s="22" t="inlineStr">
        <is>
          <t>899196284</t>
        </is>
      </c>
      <c r="C14" s="23" t="inlineStr">
        <is>
          <t>20061907450</t>
        </is>
      </c>
      <c r="D14" s="24" t="inlineStr">
        <is>
          <t>1BNCZEM00090</t>
        </is>
      </c>
      <c r="E14" s="25" t="inlineStr">
        <is>
          <t>Tek Ebat</t>
        </is>
      </c>
      <c r="F14" s="26" t="inlineStr">
        <is>
          <t>ZEMSCL</t>
        </is>
      </c>
      <c r="G14" s="27" t="inlineStr">
        <is>
          <t>Puf &amp; Bench</t>
        </is>
      </c>
      <c r="H14" s="28" t="inlineStr">
        <is>
          <t>Zem</t>
        </is>
      </c>
      <c r="I14" s="29" t="n">
        <v>971.0</v>
      </c>
      <c r="J14" s="30" t="n">
        <v>2679.9</v>
      </c>
      <c r="K14" s="31" t="n">
        <v>2654.9</v>
      </c>
      <c r="L14" s="32" t="n">
        <v>21.0</v>
      </c>
      <c r="M14" s="33" t="n">
        <v>1783.24</v>
      </c>
      <c r="N14" s="34" t="n">
        <v>2.7</v>
      </c>
      <c r="O14" s="35" t="n">
        <v>2654.9</v>
      </c>
      <c r="P14" s="36"/>
      <c r="Q14" s="37" t="n">
        <f>=IF(AND(P14&lt;&gt;"", M14&lt;&gt;"", P14&lt;=M14), N14, "-")</f>
        <v>0.0</v>
      </c>
      <c r="R14" s="38" t="str">
        <f>=IF(ISBLANK(P14), "", "Hayır")</f>
      </c>
      <c r="S14" s="39"/>
      <c r="T14" s="40" t="inlineStr">
        <is>
          <t>0ccce5da-14ad-4788-8cbf-ed98d2216bae</t>
        </is>
      </c>
    </row>
    <row r="15">
      <c r="A15" s="21" t="inlineStr">
        <is>
          <t>Favela Ahşap Ayaklı Beyaz Teddy Kumaş Berjer V01</t>
        </is>
      </c>
      <c r="B15" s="22" t="inlineStr">
        <is>
          <t>476048793</t>
        </is>
      </c>
      <c r="C15" s="23" t="inlineStr">
        <is>
          <t>400540909201</t>
        </is>
      </c>
      <c r="D15" s="24" t="inlineStr">
        <is>
          <t>1BRJZEM00048</t>
        </is>
      </c>
      <c r="E15" s="25" t="inlineStr">
        <is>
          <t>Tek Ebat</t>
        </is>
      </c>
      <c r="F15" s="26" t="inlineStr">
        <is>
          <t>ZEMFAVELA</t>
        </is>
      </c>
      <c r="G15" s="27" t="inlineStr">
        <is>
          <t>Berjer</t>
        </is>
      </c>
      <c r="H15" s="28" t="inlineStr">
        <is>
          <t>Zem</t>
        </is>
      </c>
      <c r="I15" s="29" t="n">
        <v>2999.0</v>
      </c>
      <c r="J15" s="30" t="n">
        <v>6999.9</v>
      </c>
      <c r="K15" s="31" t="n">
        <v>6949.9</v>
      </c>
      <c r="L15" s="32" t="n">
        <v>21.0</v>
      </c>
      <c r="M15" s="33" t="n">
        <v>4888.35</v>
      </c>
      <c r="N15" s="34" t="n">
        <v>3.4</v>
      </c>
      <c r="O15" s="35" t="n">
        <v>6899.9</v>
      </c>
      <c r="P15" s="36"/>
      <c r="Q15" s="37" t="n">
        <f>=IF(AND(P15&lt;&gt;"", M15&lt;&gt;"", P15&lt;=M15), N15, "-")</f>
        <v>0.0</v>
      </c>
      <c r="R15" s="38" t="str">
        <f>=IF(ISBLANK(P15), "", "Hayır")</f>
      </c>
      <c r="S15" s="39"/>
      <c r="T15" s="40" t="inlineStr">
        <is>
          <t>0ccce5da-14ad-4788-8cbf-ed98d2216bae</t>
        </is>
      </c>
    </row>
    <row r="16">
      <c r="A16" s="21" t="inlineStr">
        <is>
          <t>Doris Bohem Berjer, Kırık Beyaz</t>
        </is>
      </c>
      <c r="B16" s="22" t="inlineStr">
        <is>
          <t>985370428</t>
        </is>
      </c>
      <c r="C16" s="23" t="inlineStr">
        <is>
          <t>1907452828</t>
        </is>
      </c>
      <c r="D16" s="24" t="inlineStr">
        <is>
          <t>1BRJZEM00217</t>
        </is>
      </c>
      <c r="E16" s="25" t="inlineStr">
        <is>
          <t>Tek Ebat</t>
        </is>
      </c>
      <c r="F16" s="26" t="inlineStr">
        <is>
          <t>ZEMDRS</t>
        </is>
      </c>
      <c r="G16" s="27" t="inlineStr">
        <is>
          <t>Berjer</t>
        </is>
      </c>
      <c r="H16" s="28" t="inlineStr">
        <is>
          <t>Zem</t>
        </is>
      </c>
      <c r="I16" s="29" t="n">
        <v>418.0</v>
      </c>
      <c r="J16" s="30" t="n">
        <v>2799.9</v>
      </c>
      <c r="K16" s="31" t="n">
        <v>2774.9</v>
      </c>
      <c r="L16" s="32" t="n">
        <v>21.0</v>
      </c>
      <c r="M16" s="33" t="n">
        <v>1942.55</v>
      </c>
      <c r="N16" s="34" t="n">
        <v>4.0</v>
      </c>
      <c r="O16" s="35" t="n">
        <v>2724.9</v>
      </c>
      <c r="P16" s="36"/>
      <c r="Q16" s="37" t="n">
        <f>=IF(AND(P16&lt;&gt;"", M16&lt;&gt;"", P16&lt;=M16), N16, "-")</f>
        <v>0.0</v>
      </c>
      <c r="R16" s="38" t="str">
        <f>=IF(ISBLANK(P16), "", "Hayır")</f>
      </c>
      <c r="S16" s="39"/>
      <c r="T16" s="40" t="inlineStr">
        <is>
          <t>0ccce5da-14ad-4788-8cbf-ed98d2216bae</t>
        </is>
      </c>
    </row>
    <row r="17">
      <c r="A17" s="21" t="inlineStr">
        <is>
          <t>Pavia Berjer Ceviz Ahşap, Sütlü Kahve</t>
        </is>
      </c>
      <c r="B17" s="22" t="inlineStr">
        <is>
          <t>930530980</t>
        </is>
      </c>
      <c r="C17" s="23" t="inlineStr">
        <is>
          <t>45190777918</t>
        </is>
      </c>
      <c r="D17" s="24" t="inlineStr">
        <is>
          <t>1BRJZEM00164</t>
        </is>
      </c>
      <c r="E17" s="25" t="inlineStr">
        <is>
          <t>Tek Ebat</t>
        </is>
      </c>
      <c r="F17" s="26" t="inlineStr">
        <is>
          <t>ZEMPCV</t>
        </is>
      </c>
      <c r="G17" s="27" t="inlineStr">
        <is>
          <t>Berjer</t>
        </is>
      </c>
      <c r="H17" s="28" t="inlineStr">
        <is>
          <t>Zem</t>
        </is>
      </c>
      <c r="I17" s="29" t="n">
        <v>387.0</v>
      </c>
      <c r="J17" s="30" t="n">
        <v>6099.9</v>
      </c>
      <c r="K17" s="31" t="n">
        <v>6049.9</v>
      </c>
      <c r="L17" s="32" t="n">
        <v>21.0</v>
      </c>
      <c r="M17" s="33" t="n">
        <v>4570.55</v>
      </c>
      <c r="N17" s="34" t="n">
        <v>5.3</v>
      </c>
      <c r="O17" s="35" t="n">
        <v>5999.9</v>
      </c>
      <c r="P17" s="36"/>
      <c r="Q17" s="37" t="n">
        <f>=IF(AND(P17&lt;&gt;"", M17&lt;&gt;"", P17&lt;=M17), N17, "-")</f>
        <v>0.0</v>
      </c>
      <c r="R17" s="38" t="str">
        <f>=IF(ISBLANK(P17), "", "Hayır")</f>
      </c>
      <c r="S17" s="39"/>
      <c r="T17" s="40" t="inlineStr">
        <is>
          <t>0ccce5da-14ad-4788-8cbf-ed98d2216bae</t>
        </is>
      </c>
    </row>
    <row r="18">
      <c r="A18" s="21" t="inlineStr">
        <is>
          <t>Legna Bohem Kanepe, Gri</t>
        </is>
      </c>
      <c r="B18" s="22" t="inlineStr">
        <is>
          <t>1019077765</t>
        </is>
      </c>
      <c r="C18" s="23" t="inlineStr">
        <is>
          <t>1451907730</t>
        </is>
      </c>
      <c r="D18" s="24" t="inlineStr">
        <is>
          <t>1KNPZEM00179</t>
        </is>
      </c>
      <c r="E18" s="25" t="inlineStr">
        <is>
          <t>Tek Ebat</t>
        </is>
      </c>
      <c r="F18" s="26" t="inlineStr">
        <is>
          <t>ZEMLEGNA</t>
        </is>
      </c>
      <c r="G18" s="27" t="inlineStr">
        <is>
          <t>Kanepe</t>
        </is>
      </c>
      <c r="H18" s="28" t="inlineStr">
        <is>
          <t>Zem</t>
        </is>
      </c>
      <c r="I18" s="29" t="n">
        <v>971.0</v>
      </c>
      <c r="J18" s="30" t="n">
        <v>10899.9</v>
      </c>
      <c r="K18" s="31" t="n">
        <v>10749.9</v>
      </c>
      <c r="L18" s="32" t="n">
        <v>19.0</v>
      </c>
      <c r="M18" s="33" t="n">
        <v>8245.78</v>
      </c>
      <c r="N18" s="34" t="n">
        <v>4.3</v>
      </c>
      <c r="O18" s="35" t="n">
        <v>10749.9</v>
      </c>
      <c r="P18" s="36"/>
      <c r="Q18" s="37" t="n">
        <f>=IF(AND(P18&lt;&gt;"", M18&lt;&gt;"", P18&lt;=M18), N18, "-")</f>
        <v>0.0</v>
      </c>
      <c r="R18" s="38" t="str">
        <f>=IF(ISBLANK(P18), "", "Hayır")</f>
      </c>
      <c r="S18" s="39"/>
      <c r="T18" s="40" t="inlineStr">
        <is>
          <t>0ccce5da-14ad-4788-8cbf-ed98d2216bae</t>
        </is>
      </c>
    </row>
    <row r="19">
      <c r="A19" s="21" t="inlineStr">
        <is>
          <t>Contes Bohem Sandıklı Orta Sehpa Puf/Bench , Sütlü Kahve</t>
        </is>
      </c>
      <c r="B19" s="22" t="inlineStr">
        <is>
          <t>899196541</t>
        </is>
      </c>
      <c r="C19" s="23" t="inlineStr">
        <is>
          <t>1907200501</t>
        </is>
      </c>
      <c r="D19" s="24" t="inlineStr">
        <is>
          <t>1BNCZEM00091</t>
        </is>
      </c>
      <c r="E19" s="25" t="inlineStr">
        <is>
          <t>Tek Ebat</t>
        </is>
      </c>
      <c r="F19" s="26" t="inlineStr">
        <is>
          <t>ZEMCNTS</t>
        </is>
      </c>
      <c r="G19" s="27" t="inlineStr">
        <is>
          <t>Puf &amp; Bench</t>
        </is>
      </c>
      <c r="H19" s="28" t="inlineStr">
        <is>
          <t>Zem</t>
        </is>
      </c>
      <c r="I19" s="29" t="n">
        <v>955.0</v>
      </c>
      <c r="J19" s="30" t="n">
        <v>2949.9</v>
      </c>
      <c r="K19" s="31" t="n">
        <v>2924.9</v>
      </c>
      <c r="L19" s="32" t="n">
        <v>21.0</v>
      </c>
      <c r="M19" s="33" t="n">
        <v>2174.86</v>
      </c>
      <c r="N19" s="34" t="n">
        <v>5.6</v>
      </c>
      <c r="O19" s="35" t="n">
        <v>2924.9</v>
      </c>
      <c r="P19" s="36"/>
      <c r="Q19" s="37" t="n">
        <f>=IF(AND(P19&lt;&gt;"", M19&lt;&gt;"", P19&lt;=M19), N19, "-")</f>
        <v>0.0</v>
      </c>
      <c r="R19" s="38" t="str">
        <f>=IF(ISBLANK(P19), "", "Hayır")</f>
      </c>
      <c r="S19" s="39"/>
      <c r="T19" s="40" t="inlineStr">
        <is>
          <t>0ccce5da-14ad-4788-8cbf-ed98d2216bae</t>
        </is>
      </c>
    </row>
    <row r="20">
      <c r="A20" s="21" t="inlineStr">
        <is>
          <t>Rock Bohem Sallanır Berjer, Kırık Beyaz</t>
        </is>
      </c>
      <c r="B20" s="22" t="inlineStr">
        <is>
          <t>719516582</t>
        </is>
      </c>
      <c r="C20" s="23" t="inlineStr">
        <is>
          <t>540589651</t>
        </is>
      </c>
      <c r="D20" s="24" t="inlineStr">
        <is>
          <t>1BRJZEM00061</t>
        </is>
      </c>
      <c r="E20" s="25" t="inlineStr">
        <is>
          <t>Tek Ebat</t>
        </is>
      </c>
      <c r="F20" s="26" t="inlineStr">
        <is>
          <t>ZEMRCK01</t>
        </is>
      </c>
      <c r="G20" s="27" t="inlineStr">
        <is>
          <t>Berjer</t>
        </is>
      </c>
      <c r="H20" s="28" t="inlineStr">
        <is>
          <t>Zem</t>
        </is>
      </c>
      <c r="I20" s="29" t="n">
        <v>868.0</v>
      </c>
      <c r="J20" s="30" t="n">
        <v>7249.9</v>
      </c>
      <c r="K20" s="31" t="n">
        <v>7199.9</v>
      </c>
      <c r="L20" s="32" t="n">
        <v>21.0</v>
      </c>
      <c r="M20" s="33" t="n">
        <v>5662.52</v>
      </c>
      <c r="N20" s="34" t="n">
        <v>6.9</v>
      </c>
      <c r="O20" s="35" t="n">
        <v>7149.9</v>
      </c>
      <c r="P20" s="36"/>
      <c r="Q20" s="37" t="n">
        <f>=IF(AND(P20&lt;&gt;"", M20&lt;&gt;"", P20&lt;=M20), N20, "-")</f>
        <v>0.0</v>
      </c>
      <c r="R20" s="38" t="str">
        <f>=IF(ISBLANK(P20), "", "Hayır")</f>
      </c>
      <c r="S20" s="39"/>
      <c r="T20" s="40" t="inlineStr">
        <is>
          <t>0ccce5da-14ad-4788-8cbf-ed98d2216bae</t>
        </is>
      </c>
    </row>
    <row r="21">
      <c r="A21" s="21" t="inlineStr">
        <is>
          <t>Favela Ahşap Ayaklı Sütlü Kahve Teddy Kumaş Berjer V03</t>
        </is>
      </c>
      <c r="B21" s="22" t="inlineStr">
        <is>
          <t>649437029</t>
        </is>
      </c>
      <c r="C21" s="23" t="inlineStr">
        <is>
          <t>699509480230</t>
        </is>
      </c>
      <c r="D21" s="24" t="inlineStr">
        <is>
          <t>1BRJZEM00049</t>
        </is>
      </c>
      <c r="E21" s="25" t="inlineStr">
        <is>
          <t>Tek Ebat</t>
        </is>
      </c>
      <c r="F21" s="26" t="inlineStr">
        <is>
          <t>ZEMFAVELA</t>
        </is>
      </c>
      <c r="G21" s="27" t="inlineStr">
        <is>
          <t>Berjer</t>
        </is>
      </c>
      <c r="H21" s="28" t="inlineStr">
        <is>
          <t>Zem</t>
        </is>
      </c>
      <c r="I21" s="29" t="n">
        <v>939.0</v>
      </c>
      <c r="J21" s="30" t="n">
        <v>6999.9</v>
      </c>
      <c r="K21" s="31" t="n">
        <v>6949.9</v>
      </c>
      <c r="L21" s="32" t="n">
        <v>21.0</v>
      </c>
      <c r="M21" s="33" t="n">
        <v>4967.62</v>
      </c>
      <c r="N21" s="34" t="n">
        <v>3.4</v>
      </c>
      <c r="O21" s="35" t="n">
        <v>6899.9</v>
      </c>
      <c r="P21" s="36"/>
      <c r="Q21" s="37" t="n">
        <f>=IF(AND(P21&lt;&gt;"", M21&lt;&gt;"", P21&lt;=M21), N21, "-")</f>
        <v>0.0</v>
      </c>
      <c r="R21" s="38" t="str">
        <f>=IF(ISBLANK(P21), "", "Hayır")</f>
      </c>
      <c r="S21" s="39"/>
      <c r="T21" s="40" t="inlineStr">
        <is>
          <t>0ccce5da-14ad-4788-8cbf-ed98d2216bae</t>
        </is>
      </c>
    </row>
    <row r="22">
      <c r="A22" s="21" t="inlineStr">
        <is>
          <t>Aryaves Hazeran Jüt Bohem İkili Kanepe Ceviz Ahşap, Sütlü Kahve</t>
        </is>
      </c>
      <c r="B22" s="22" t="inlineStr">
        <is>
          <t>1044499759</t>
        </is>
      </c>
      <c r="C22" s="23" t="inlineStr">
        <is>
          <t>4545355223</t>
        </is>
      </c>
      <c r="D22" s="24" t="inlineStr">
        <is>
          <t>1BRJZEM00178</t>
        </is>
      </c>
      <c r="E22" s="25" t="inlineStr">
        <is>
          <t>Tek Ebat</t>
        </is>
      </c>
      <c r="F22" s="26" t="inlineStr">
        <is>
          <t>ZEMARYVS</t>
        </is>
      </c>
      <c r="G22" s="27" t="inlineStr">
        <is>
          <t>Kanepe</t>
        </is>
      </c>
      <c r="H22" s="28" t="inlineStr">
        <is>
          <t>Zem</t>
        </is>
      </c>
      <c r="I22" s="29" t="n">
        <v>476.0</v>
      </c>
      <c r="J22" s="30" t="n">
        <v>8499.9</v>
      </c>
      <c r="K22" s="31" t="n">
        <v>8349.9</v>
      </c>
      <c r="L22" s="32" t="n">
        <v>19.0</v>
      </c>
      <c r="M22" s="33" t="n">
        <v>6684.44</v>
      </c>
      <c r="N22" s="34" t="n">
        <v>6.3</v>
      </c>
      <c r="O22" s="35" t="n">
        <v>8349.9</v>
      </c>
      <c r="P22" s="36"/>
      <c r="Q22" s="37" t="n">
        <f>=IF(AND(P22&lt;&gt;"", M22&lt;&gt;"", P22&lt;=M22), N22, "-")</f>
        <v>0.0</v>
      </c>
      <c r="R22" s="38" t="str">
        <f>=IF(ISBLANK(P22), "", "Hayır")</f>
      </c>
      <c r="S22" s="39"/>
      <c r="T22" s="40" t="inlineStr">
        <is>
          <t>0ccce5da-14ad-4788-8cbf-ed98d2216bae</t>
        </is>
      </c>
    </row>
    <row r="23">
      <c r="A23" s="21" t="inlineStr">
        <is>
          <t>Orso Bohem Sandıklı Puf, Sütlü Kahve</t>
        </is>
      </c>
      <c r="B23" s="22" t="inlineStr">
        <is>
          <t>899391897</t>
        </is>
      </c>
      <c r="C23" s="23" t="inlineStr">
        <is>
          <t>20050190731</t>
        </is>
      </c>
      <c r="D23" s="24" t="inlineStr">
        <is>
          <t>1PUFZEM00616</t>
        </is>
      </c>
      <c r="E23" s="25" t="inlineStr">
        <is>
          <t>Tek Ebat</t>
        </is>
      </c>
      <c r="F23" s="26" t="inlineStr">
        <is>
          <t>ZEMOR</t>
        </is>
      </c>
      <c r="G23" s="27" t="inlineStr">
        <is>
          <t>Puf &amp; Bench</t>
        </is>
      </c>
      <c r="H23" s="28" t="inlineStr">
        <is>
          <t>Zem</t>
        </is>
      </c>
      <c r="I23" s="29" t="n">
        <v>972.0</v>
      </c>
      <c r="J23" s="30" t="n">
        <v>2069.9</v>
      </c>
      <c r="K23" s="31" t="n">
        <v>1994.9</v>
      </c>
      <c r="L23" s="32" t="n">
        <v>21.0</v>
      </c>
      <c r="M23" s="33" t="n">
        <v>1513.37</v>
      </c>
      <c r="N23" s="34" t="n">
        <v>4.6</v>
      </c>
      <c r="O23" s="35" t="n">
        <v>1994.9</v>
      </c>
      <c r="P23" s="36"/>
      <c r="Q23" s="37" t="n">
        <f>=IF(AND(P23&lt;&gt;"", M23&lt;&gt;"", P23&lt;=M23), N23, "-")</f>
        <v>0.0</v>
      </c>
      <c r="R23" s="38" t="str">
        <f>=IF(ISBLANK(P23), "", "Hayır")</f>
      </c>
      <c r="S23" s="39"/>
      <c r="T23" s="40" t="inlineStr">
        <is>
          <t>0ccce5da-14ad-4788-8cbf-ed98d2216bae</t>
        </is>
      </c>
    </row>
    <row r="24">
      <c r="A24" s="21" t="inlineStr">
        <is>
          <t>Contes Bohem Sandıklı Orta Sehpa Puf/bench, Kırık Beyaz</t>
        </is>
      </c>
      <c r="B24" s="22" t="inlineStr">
        <is>
          <t>863332454</t>
        </is>
      </c>
      <c r="C24" s="23" t="inlineStr">
        <is>
          <t>4579019075235</t>
        </is>
      </c>
      <c r="D24" s="24" t="inlineStr">
        <is>
          <t>1PUFZEM00608</t>
        </is>
      </c>
      <c r="E24" s="25" t="inlineStr">
        <is>
          <t>Tek Ebat</t>
        </is>
      </c>
      <c r="F24" s="26" t="inlineStr">
        <is>
          <t>ZEMCNTS</t>
        </is>
      </c>
      <c r="G24" s="27" t="inlineStr">
        <is>
          <t>Puf &amp; Bench</t>
        </is>
      </c>
      <c r="H24" s="28" t="inlineStr">
        <is>
          <t>Zem</t>
        </is>
      </c>
      <c r="I24" s="29" t="n">
        <v>815.0</v>
      </c>
      <c r="J24" s="30" t="n">
        <v>2949.9</v>
      </c>
      <c r="K24" s="31" t="n">
        <v>2924.9</v>
      </c>
      <c r="L24" s="32" t="n">
        <v>21.0</v>
      </c>
      <c r="M24" s="33" t="n">
        <v>2125.63</v>
      </c>
      <c r="N24" s="34" t="n">
        <v>4.3</v>
      </c>
      <c r="O24" s="35" t="n">
        <v>2924.9</v>
      </c>
      <c r="P24" s="36"/>
      <c r="Q24" s="37" t="n">
        <f>=IF(AND(P24&lt;&gt;"", M24&lt;&gt;"", P24&lt;=M24), N24, "-")</f>
        <v>0.0</v>
      </c>
      <c r="R24" s="38" t="str">
        <f>=IF(ISBLANK(P24), "", "Hayır")</f>
      </c>
      <c r="S24" s="39"/>
      <c r="T24" s="40" t="inlineStr">
        <is>
          <t>0ccce5da-14ad-4788-8cbf-ed98d2216bae</t>
        </is>
      </c>
    </row>
    <row r="25">
      <c r="A25" s="21" t="inlineStr">
        <is>
          <t>Louca Bench, Kırık Beyaz Gold</t>
        </is>
      </c>
      <c r="B25" s="22" t="inlineStr">
        <is>
          <t>216563158</t>
        </is>
      </c>
      <c r="C25" s="23" t="inlineStr">
        <is>
          <t>9987749996444</t>
        </is>
      </c>
      <c r="D25" s="24" t="inlineStr">
        <is>
          <t>1bnczem00038</t>
        </is>
      </c>
      <c r="E25" s="25" t="inlineStr">
        <is>
          <t>Tek Ebat</t>
        </is>
      </c>
      <c r="F25" s="26" t="inlineStr">
        <is>
          <t>LOUCA01</t>
        </is>
      </c>
      <c r="G25" s="27" t="inlineStr">
        <is>
          <t>Puf &amp; Bench</t>
        </is>
      </c>
      <c r="H25" s="28" t="inlineStr">
        <is>
          <t>Zem</t>
        </is>
      </c>
      <c r="I25" s="29" t="n">
        <v>981.0</v>
      </c>
      <c r="J25" s="30" t="n">
        <v>1719.9</v>
      </c>
      <c r="K25" s="31" t="n">
        <v>1719.9</v>
      </c>
      <c r="L25" s="32" t="n">
        <v>21.0</v>
      </c>
      <c r="M25" s="33" t="n">
        <v>1236.65</v>
      </c>
      <c r="N25" s="34" t="n">
        <v>3.5</v>
      </c>
      <c r="O25" s="35" t="n">
        <v>1719.9</v>
      </c>
      <c r="P25" s="36"/>
      <c r="Q25" s="37" t="n">
        <f>=IF(AND(P25&lt;&gt;"", M25&lt;&gt;"", P25&lt;=M25), N25, "-")</f>
        <v>0.0</v>
      </c>
      <c r="R25" s="38" t="str">
        <f>=IF(ISBLANK(P25), "", "Hayır")</f>
      </c>
      <c r="S25" s="39"/>
      <c r="T25" s="40" t="inlineStr">
        <is>
          <t>0ccce5da-14ad-4788-8cbf-ed98d2216bae</t>
        </is>
      </c>
    </row>
    <row r="26">
      <c r="A26" s="21" t="inlineStr">
        <is>
          <t>Şila Bench Beyaz Peluş - Silver Ayaklı 90 Cm</t>
        </is>
      </c>
      <c r="B26" s="22" t="inlineStr">
        <is>
          <t>120988102</t>
        </is>
      </c>
      <c r="C26" s="23" t="inlineStr">
        <is>
          <t>768895542314</t>
        </is>
      </c>
      <c r="D26" s="24" t="inlineStr">
        <is>
          <t>1BNCZEM00009</t>
        </is>
      </c>
      <c r="E26" s="25" t="inlineStr">
        <is>
          <t>Tek Ebat</t>
        </is>
      </c>
      <c r="F26" s="26" t="inlineStr">
        <is>
          <t>ZEMSİLA02</t>
        </is>
      </c>
      <c r="G26" s="27" t="inlineStr">
        <is>
          <t>Puf &amp; Bench</t>
        </is>
      </c>
      <c r="H26" s="28" t="inlineStr">
        <is>
          <t>Zem</t>
        </is>
      </c>
      <c r="I26" s="29" t="n">
        <v>4577.0</v>
      </c>
      <c r="J26" s="30" t="n">
        <v>1819.9</v>
      </c>
      <c r="K26" s="31" t="n">
        <v>1819.9</v>
      </c>
      <c r="L26" s="32" t="n">
        <v>21.0</v>
      </c>
      <c r="M26" s="33" t="n">
        <v>1266.68</v>
      </c>
      <c r="N26" s="34" t="n">
        <v>2.7</v>
      </c>
      <c r="O26" s="35" t="n">
        <v>1819.9</v>
      </c>
      <c r="P26" s="36"/>
      <c r="Q26" s="37" t="n">
        <f>=IF(AND(P26&lt;&gt;"", M26&lt;&gt;"", P26&lt;=M26), N26, "-")</f>
        <v>0.0</v>
      </c>
      <c r="R26" s="38" t="str">
        <f>=IF(ISBLANK(P26), "", "Hayır")</f>
      </c>
      <c r="S26" s="39"/>
      <c r="T26" s="40" t="inlineStr">
        <is>
          <t>0ccce5da-14ad-4788-8cbf-ed98d2216bae</t>
        </is>
      </c>
    </row>
    <row r="27">
      <c r="A27" s="21" t="inlineStr">
        <is>
          <t>Legna Bohem Köşe Takımı, Gri</t>
        </is>
      </c>
      <c r="B27" s="22" t="inlineStr">
        <is>
          <t>1001737020</t>
        </is>
      </c>
      <c r="C27" s="23" t="inlineStr">
        <is>
          <t>1907454502</t>
        </is>
      </c>
      <c r="D27" s="24" t="inlineStr">
        <is>
          <t>1KŞTZEM00040</t>
        </is>
      </c>
      <c r="E27" s="25" t="inlineStr">
        <is>
          <t>Tek Ebat</t>
        </is>
      </c>
      <c r="F27" s="26" t="inlineStr">
        <is>
          <t>ZEMKŞLG</t>
        </is>
      </c>
      <c r="G27" s="27" t="inlineStr">
        <is>
          <t>Köşe Takımı</t>
        </is>
      </c>
      <c r="H27" s="28" t="inlineStr">
        <is>
          <t>Zem</t>
        </is>
      </c>
      <c r="I27" s="29" t="n">
        <v>400.0</v>
      </c>
      <c r="J27" s="30" t="n">
        <v>14599.9</v>
      </c>
      <c r="K27" s="31" t="n">
        <v>14039.05</v>
      </c>
      <c r="L27" s="32" t="n">
        <v>19.0</v>
      </c>
      <c r="M27" s="33" t="n">
        <v>11540.55</v>
      </c>
      <c r="N27" s="34" t="n">
        <v>5.0</v>
      </c>
      <c r="O27" s="35" t="n">
        <v>14039.05</v>
      </c>
      <c r="P27" s="36"/>
      <c r="Q27" s="37" t="n">
        <f>=IF(AND(P27&lt;&gt;"", M27&lt;&gt;"", P27&lt;=M27), N27, "-")</f>
        <v>0.0</v>
      </c>
      <c r="R27" s="38" t="str">
        <f>=IF(ISBLANK(P27), "", "Hayır")</f>
      </c>
      <c r="S27" s="39"/>
      <c r="T27" s="40" t="inlineStr">
        <is>
          <t>0ccce5da-14ad-4788-8cbf-ed98d2216bae</t>
        </is>
      </c>
    </row>
    <row r="28">
      <c r="A28" s="21" t="inlineStr">
        <is>
          <t>Modica Bench, Sütlü Kahve</t>
        </is>
      </c>
      <c r="B28" s="22" t="inlineStr">
        <is>
          <t>899542842</t>
        </is>
      </c>
      <c r="C28" s="23" t="inlineStr">
        <is>
          <t>2000719074514</t>
        </is>
      </c>
      <c r="D28" s="24" t="inlineStr">
        <is>
          <t>1BNCZEM00095</t>
        </is>
      </c>
      <c r="E28" s="25" t="inlineStr">
        <is>
          <t>Tek Ebat</t>
        </is>
      </c>
      <c r="F28" s="26" t="inlineStr">
        <is>
          <t>ZEMMDC</t>
        </is>
      </c>
      <c r="G28" s="27" t="inlineStr">
        <is>
          <t>Puf &amp; Bench</t>
        </is>
      </c>
      <c r="H28" s="28" t="inlineStr">
        <is>
          <t>Zem</t>
        </is>
      </c>
      <c r="I28" s="29" t="n">
        <v>351.0</v>
      </c>
      <c r="J28" s="30" t="n">
        <v>2999.9</v>
      </c>
      <c r="K28" s="31" t="n">
        <v>2974.9</v>
      </c>
      <c r="L28" s="32" t="n">
        <v>21.0</v>
      </c>
      <c r="M28" s="33" t="n">
        <v>2073.17</v>
      </c>
      <c r="N28" s="34" t="n">
        <v>2.7</v>
      </c>
      <c r="O28" s="35" t="n">
        <v>2974.9</v>
      </c>
      <c r="P28" s="36"/>
      <c r="Q28" s="37" t="n">
        <f>=IF(AND(P28&lt;&gt;"", M28&lt;&gt;"", P28&lt;=M28), N28, "-")</f>
        <v>0.0</v>
      </c>
      <c r="R28" s="38" t="str">
        <f>=IF(ISBLANK(P28), "", "Hayır")</f>
      </c>
      <c r="S28" s="39"/>
      <c r="T28" s="40" t="inlineStr">
        <is>
          <t>0ccce5da-14ad-4788-8cbf-ed98d2216bae</t>
        </is>
      </c>
    </row>
    <row r="29">
      <c r="A29" s="21" t="inlineStr">
        <is>
          <t>Scala Sandıklı Bohem Ahşap Ayaklı Puf/Bench, Gri</t>
        </is>
      </c>
      <c r="B29" s="22" t="inlineStr">
        <is>
          <t>898563591</t>
        </is>
      </c>
      <c r="C29" s="23" t="inlineStr">
        <is>
          <t>198071907450</t>
        </is>
      </c>
      <c r="D29" s="24" t="inlineStr">
        <is>
          <t>1BNCZEM00094</t>
        </is>
      </c>
      <c r="E29" s="25" t="inlineStr">
        <is>
          <t>Tek Ebat</t>
        </is>
      </c>
      <c r="F29" s="26" t="inlineStr">
        <is>
          <t>ZEMSCL</t>
        </is>
      </c>
      <c r="G29" s="27" t="inlineStr">
        <is>
          <t>Puf &amp; Bench</t>
        </is>
      </c>
      <c r="H29" s="28" t="inlineStr">
        <is>
          <t>Zem</t>
        </is>
      </c>
      <c r="I29" s="29" t="n">
        <v>981.0</v>
      </c>
      <c r="J29" s="30" t="n">
        <v>2679.9</v>
      </c>
      <c r="K29" s="31" t="n">
        <v>2654.9</v>
      </c>
      <c r="L29" s="32" t="n">
        <v>21.0</v>
      </c>
      <c r="M29" s="33" t="n">
        <v>1894.62</v>
      </c>
      <c r="N29" s="34" t="n">
        <v>2.9</v>
      </c>
      <c r="O29" s="35" t="n">
        <v>2654.9</v>
      </c>
      <c r="P29" s="36"/>
      <c r="Q29" s="37" t="n">
        <f>=IF(AND(P29&lt;&gt;"", M29&lt;&gt;"", P29&lt;=M29), N29, "-")</f>
        <v>0.0</v>
      </c>
      <c r="R29" s="38" t="str">
        <f>=IF(ISBLANK(P29), "", "Hayır")</f>
      </c>
      <c r="S29" s="39"/>
      <c r="T29" s="40" t="inlineStr">
        <is>
          <t>0ccce5da-14ad-4788-8cbf-ed98d2216bae</t>
        </is>
      </c>
    </row>
    <row r="30">
      <c r="A30" s="21" t="inlineStr">
        <is>
          <t>Long Line Puf, Siyah Gold</t>
        </is>
      </c>
      <c r="B30" s="22" t="inlineStr">
        <is>
          <t>79351423</t>
        </is>
      </c>
      <c r="C30" s="23" t="inlineStr">
        <is>
          <t>8541226635</t>
        </is>
      </c>
      <c r="D30" s="24" t="inlineStr">
        <is>
          <t>1PUFZEM00111</t>
        </is>
      </c>
      <c r="E30" s="25" t="inlineStr">
        <is>
          <t>Tek Ebat</t>
        </is>
      </c>
      <c r="F30" s="26" t="inlineStr">
        <is>
          <t>ZEMLONGLİNE</t>
        </is>
      </c>
      <c r="G30" s="27" t="inlineStr">
        <is>
          <t>Puf &amp; Bench</t>
        </is>
      </c>
      <c r="H30" s="28" t="inlineStr">
        <is>
          <t>Zem</t>
        </is>
      </c>
      <c r="I30" s="29" t="n">
        <v>522.0</v>
      </c>
      <c r="J30" s="30" t="n">
        <v>1199.9</v>
      </c>
      <c r="K30" s="31" t="n">
        <v>1199.9</v>
      </c>
      <c r="L30" s="32" t="n">
        <v>21.0</v>
      </c>
      <c r="M30" s="33" t="n">
        <v>806.08</v>
      </c>
      <c r="N30" s="34" t="n">
        <v>2.7</v>
      </c>
      <c r="O30" s="35" t="n">
        <v>1199.9</v>
      </c>
      <c r="P30" s="36"/>
      <c r="Q30" s="37" t="n">
        <f>=IF(AND(P30&lt;&gt;"", M30&lt;&gt;"", P30&lt;=M30), N30, "-")</f>
        <v>0.0</v>
      </c>
      <c r="R30" s="38" t="str">
        <f>=IF(ISBLANK(P30), "", "Hayır")</f>
      </c>
      <c r="S30" s="39"/>
      <c r="T30" s="40" t="inlineStr">
        <is>
          <t>0ccce5da-14ad-4788-8cbf-ed98d2216bae</t>
        </is>
      </c>
    </row>
    <row r="31">
      <c r="A31" s="21" t="inlineStr">
        <is>
          <t>Long Line Puf, Kırık Beyaz Silver</t>
        </is>
      </c>
      <c r="B31" s="22" t="inlineStr">
        <is>
          <t>76239851</t>
        </is>
      </c>
      <c r="C31" s="23" t="inlineStr">
        <is>
          <t>8898777ZE3040</t>
        </is>
      </c>
      <c r="D31" s="24" t="inlineStr">
        <is>
          <t>1PUFZEM00112</t>
        </is>
      </c>
      <c r="E31" s="25" t="inlineStr">
        <is>
          <t>Tek Ebat</t>
        </is>
      </c>
      <c r="F31" s="26" t="inlineStr">
        <is>
          <t>ZEMLONGLİNE</t>
        </is>
      </c>
      <c r="G31" s="27" t="inlineStr">
        <is>
          <t>Puf &amp; Bench</t>
        </is>
      </c>
      <c r="H31" s="28" t="inlineStr">
        <is>
          <t>Zem</t>
        </is>
      </c>
      <c r="I31" s="29" t="n">
        <v>434.0</v>
      </c>
      <c r="J31" s="30" t="n">
        <v>1199.0</v>
      </c>
      <c r="K31" s="31" t="n">
        <v>1021.71</v>
      </c>
      <c r="L31" s="32" t="n">
        <v>15.4</v>
      </c>
      <c r="M31" s="33" t="n">
        <v>785.69</v>
      </c>
      <c r="N31" s="34" t="n">
        <v>2.7</v>
      </c>
      <c r="O31" s="35" t="n">
        <v>1021.71</v>
      </c>
      <c r="P31" s="36"/>
      <c r="Q31" s="37" t="n">
        <f>=IF(AND(P31&lt;&gt;"", M31&lt;&gt;"", P31&lt;=M31), N31, "-")</f>
        <v>0.0</v>
      </c>
      <c r="R31" s="38" t="str">
        <f>=IF(ISBLANK(P31), "", "Hayır")</f>
      </c>
      <c r="S31" s="39"/>
      <c r="T31" s="40" t="inlineStr">
        <is>
          <t>0ccce5da-14ad-4788-8cbf-ed98d2216bae</t>
        </is>
      </c>
    </row>
    <row r="32">
      <c r="A32" s="21" t="inlineStr">
        <is>
          <t>Long Line Puf, Gri Gold</t>
        </is>
      </c>
      <c r="B32" s="22" t="inlineStr">
        <is>
          <t>74477956</t>
        </is>
      </c>
      <c r="C32" s="23" t="inlineStr">
        <is>
          <t>85ZEM65214573</t>
        </is>
      </c>
      <c r="D32" s="24" t="inlineStr">
        <is>
          <t>1PUFZEM00059</t>
        </is>
      </c>
      <c r="E32" s="25" t="inlineStr">
        <is>
          <t>Tek Ebat</t>
        </is>
      </c>
      <c r="F32" s="26" t="inlineStr">
        <is>
          <t>ZEMLONGLİNE</t>
        </is>
      </c>
      <c r="G32" s="27" t="inlineStr">
        <is>
          <t>Puf &amp; Bench</t>
        </is>
      </c>
      <c r="H32" s="28" t="inlineStr">
        <is>
          <t>Zem</t>
        </is>
      </c>
      <c r="I32" s="29" t="n">
        <v>346.0</v>
      </c>
      <c r="J32" s="30" t="n">
        <v>1199.9</v>
      </c>
      <c r="K32" s="31" t="n">
        <v>1199.9</v>
      </c>
      <c r="L32" s="32" t="n">
        <v>21.0</v>
      </c>
      <c r="M32" s="33" t="n">
        <v>808.94</v>
      </c>
      <c r="N32" s="34" t="n">
        <v>2.7</v>
      </c>
      <c r="O32" s="35" t="n">
        <v>1199.9</v>
      </c>
      <c r="P32" s="36"/>
      <c r="Q32" s="37" t="n">
        <f>=IF(AND(P32&lt;&gt;"", M32&lt;&gt;"", P32&lt;=M32), N32, "-")</f>
        <v>0.0</v>
      </c>
      <c r="R32" s="38" t="str">
        <f>=IF(ISBLANK(P32), "", "Hayır")</f>
      </c>
      <c r="S32" s="39"/>
      <c r="T32" s="40" t="inlineStr">
        <is>
          <t>0ccce5da-14ad-4788-8cbf-ed98d2216bae</t>
        </is>
      </c>
    </row>
    <row r="33">
      <c r="A33" s="21" t="inlineStr">
        <is>
          <t>Meira Tek Kişilik Katlanır Yataklı Koltuk, Gri</t>
        </is>
      </c>
      <c r="B33" s="22" t="inlineStr">
        <is>
          <t>951472616</t>
        </is>
      </c>
      <c r="C33" s="23" t="inlineStr">
        <is>
          <t>1907805452347</t>
        </is>
      </c>
      <c r="D33" s="24" t="inlineStr">
        <is>
          <t>1BRJZEM00182</t>
        </is>
      </c>
      <c r="E33" s="25" t="inlineStr">
        <is>
          <t>Tek Ebat</t>
        </is>
      </c>
      <c r="F33" s="26" t="inlineStr">
        <is>
          <t>ZEMMEİRA</t>
        </is>
      </c>
      <c r="G33" s="27" t="inlineStr">
        <is>
          <t>Berjer</t>
        </is>
      </c>
      <c r="H33" s="28" t="inlineStr">
        <is>
          <t>Zem</t>
        </is>
      </c>
      <c r="I33" s="29" t="n">
        <v>409.0</v>
      </c>
      <c r="J33" s="30" t="n">
        <v>3649.9</v>
      </c>
      <c r="K33" s="31" t="n">
        <v>3624.9</v>
      </c>
      <c r="L33" s="32" t="n">
        <v>21.0</v>
      </c>
      <c r="M33" s="33" t="n">
        <v>2693.39</v>
      </c>
      <c r="N33" s="34" t="n">
        <v>4.9</v>
      </c>
      <c r="O33" s="35" t="n">
        <v>3574.9</v>
      </c>
      <c r="P33" s="36"/>
      <c r="Q33" s="37" t="n">
        <f>=IF(AND(P33&lt;&gt;"", M33&lt;&gt;"", P33&lt;=M33), N33, "-")</f>
        <v>0.0</v>
      </c>
      <c r="R33" s="38" t="str">
        <f>=IF(ISBLANK(P33), "", "Hayır")</f>
      </c>
      <c r="S33" s="39"/>
      <c r="T33" s="40" t="inlineStr">
        <is>
          <t>0ccce5da-14ad-4788-8cbf-ed98d2216bae</t>
        </is>
      </c>
    </row>
    <row r="34">
      <c r="A34" s="21" t="inlineStr">
        <is>
          <t>Jarvis Bohem Sandıklı Orta Sehpa Puf, Kırık Beyaz</t>
        </is>
      </c>
      <c r="B34" s="22" t="inlineStr">
        <is>
          <t>861267609</t>
        </is>
      </c>
      <c r="C34" s="23" t="inlineStr">
        <is>
          <t>587991790780</t>
        </is>
      </c>
      <c r="D34" s="24" t="inlineStr">
        <is>
          <t>1PUFZEM00607</t>
        </is>
      </c>
      <c r="E34" s="25" t="inlineStr">
        <is>
          <t>Tek Ebat</t>
        </is>
      </c>
      <c r="F34" s="26" t="inlineStr">
        <is>
          <t>ZEMJRV</t>
        </is>
      </c>
      <c r="G34" s="27" t="inlineStr">
        <is>
          <t>Puf &amp; Bench</t>
        </is>
      </c>
      <c r="H34" s="28" t="inlineStr">
        <is>
          <t>Zem</t>
        </is>
      </c>
      <c r="I34" s="29" t="n">
        <v>972.0</v>
      </c>
      <c r="J34" s="30" t="n">
        <v>1819.9</v>
      </c>
      <c r="K34" s="31" t="n">
        <v>1819.9</v>
      </c>
      <c r="L34" s="32" t="n">
        <v>21.0</v>
      </c>
      <c r="M34" s="33" t="n">
        <v>1257.94</v>
      </c>
      <c r="N34" s="34" t="n">
        <v>2.7</v>
      </c>
      <c r="O34" s="35" t="n">
        <v>1819.9</v>
      </c>
      <c r="P34" s="36"/>
      <c r="Q34" s="37" t="n">
        <f>=IF(AND(P34&lt;&gt;"", M34&lt;&gt;"", P34&lt;=M34), N34, "-")</f>
        <v>0.0</v>
      </c>
      <c r="R34" s="38" t="str">
        <f>=IF(ISBLANK(P34), "", "Hayır")</f>
      </c>
      <c r="S34" s="39"/>
      <c r="T34" s="40" t="inlineStr">
        <is>
          <t>0ccce5da-14ad-4788-8cbf-ed98d2216bae</t>
        </is>
      </c>
    </row>
    <row r="35">
      <c r="A35" s="21" t="inlineStr">
        <is>
          <t>Rock Bohem Sallanır Berjer, Sütlü Kahve</t>
        </is>
      </c>
      <c r="B35" s="22" t="inlineStr">
        <is>
          <t>742117209</t>
        </is>
      </c>
      <c r="C35" s="23" t="inlineStr">
        <is>
          <t>980803109</t>
        </is>
      </c>
      <c r="D35" s="24" t="inlineStr">
        <is>
          <t>1BRJZEM00075</t>
        </is>
      </c>
      <c r="E35" s="25" t="inlineStr">
        <is>
          <t>Tek Ebat</t>
        </is>
      </c>
      <c r="F35" s="26" t="inlineStr">
        <is>
          <t>ZEMRCK01</t>
        </is>
      </c>
      <c r="G35" s="27" t="inlineStr">
        <is>
          <t>Berjer</t>
        </is>
      </c>
      <c r="H35" s="28" t="inlineStr">
        <is>
          <t>Zem</t>
        </is>
      </c>
      <c r="I35" s="29" t="n">
        <v>871.0</v>
      </c>
      <c r="J35" s="30" t="n">
        <v>7249.9</v>
      </c>
      <c r="K35" s="31" t="n">
        <v>7199.9</v>
      </c>
      <c r="L35" s="32" t="n">
        <v>21.0</v>
      </c>
      <c r="M35" s="33" t="n">
        <v>5253.47</v>
      </c>
      <c r="N35" s="34" t="n">
        <v>5.8</v>
      </c>
      <c r="O35" s="35" t="n">
        <v>7149.9</v>
      </c>
      <c r="P35" s="36"/>
      <c r="Q35" s="37" t="n">
        <f>=IF(AND(P35&lt;&gt;"", M35&lt;&gt;"", P35&lt;=M35), N35, "-")</f>
        <v>0.0</v>
      </c>
      <c r="R35" s="38" t="str">
        <f>=IF(ISBLANK(P35), "", "Hayır")</f>
      </c>
      <c r="S35" s="39"/>
      <c r="T35" s="40" t="inlineStr">
        <is>
          <t>0ccce5da-14ad-4788-8cbf-ed98d2216bae</t>
        </is>
      </c>
    </row>
    <row r="36">
      <c r="A36" s="21" t="inlineStr">
        <is>
          <t>Favela Bohem Berjer Natürel Ahşap, Hardal</t>
        </is>
      </c>
      <c r="B36" s="22" t="inlineStr">
        <is>
          <t>649599574</t>
        </is>
      </c>
      <c r="C36" s="23" t="inlineStr">
        <is>
          <t>652062025063</t>
        </is>
      </c>
      <c r="D36" s="24" t="inlineStr">
        <is>
          <t>1BRJZEM00052</t>
        </is>
      </c>
      <c r="E36" s="25" t="inlineStr">
        <is>
          <t>Tek Ebat</t>
        </is>
      </c>
      <c r="F36" s="26" t="inlineStr">
        <is>
          <t>ZEMFAVELA</t>
        </is>
      </c>
      <c r="G36" s="27" t="inlineStr">
        <is>
          <t>Berjer</t>
        </is>
      </c>
      <c r="H36" s="28" t="inlineStr">
        <is>
          <t>Zem</t>
        </is>
      </c>
      <c r="I36" s="29" t="n">
        <v>898.0</v>
      </c>
      <c r="J36" s="30" t="n">
        <v>6999.9</v>
      </c>
      <c r="K36" s="31" t="n">
        <v>6949.9</v>
      </c>
      <c r="L36" s="32" t="n">
        <v>21.0</v>
      </c>
      <c r="M36" s="33" t="n">
        <v>4920.74</v>
      </c>
      <c r="N36" s="34" t="n">
        <v>2.9</v>
      </c>
      <c r="O36" s="35" t="n">
        <v>6899.9</v>
      </c>
      <c r="P36" s="36"/>
      <c r="Q36" s="37" t="n">
        <f>=IF(AND(P36&lt;&gt;"", M36&lt;&gt;"", P36&lt;=M36), N36, "-")</f>
        <v>0.0</v>
      </c>
      <c r="R36" s="38" t="str">
        <f>=IF(ISBLANK(P36), "", "Hayır")</f>
      </c>
      <c r="S36" s="39"/>
      <c r="T36" s="40" t="inlineStr">
        <is>
          <t>0ccce5da-14ad-4788-8cbf-ed98d2216bae</t>
        </is>
      </c>
    </row>
    <row r="37">
      <c r="A37" s="21" t="inlineStr">
        <is>
          <t>Pavia Berjer Ceviz Ahşap, Kırık Beyaz</t>
        </is>
      </c>
      <c r="B37" s="22" t="inlineStr">
        <is>
          <t>931505691</t>
        </is>
      </c>
      <c r="C37" s="23" t="inlineStr">
        <is>
          <t>00057819970</t>
        </is>
      </c>
      <c r="D37" s="24" t="inlineStr">
        <is>
          <t>1BRJZEM00187</t>
        </is>
      </c>
      <c r="E37" s="25" t="inlineStr">
        <is>
          <t>Tek Ebat</t>
        </is>
      </c>
      <c r="F37" s="26" t="inlineStr">
        <is>
          <t>ZEMPCV</t>
        </is>
      </c>
      <c r="G37" s="27" t="inlineStr">
        <is>
          <t>Berjer</t>
        </is>
      </c>
      <c r="H37" s="28" t="inlineStr">
        <is>
          <t>Zem</t>
        </is>
      </c>
      <c r="I37" s="29" t="n">
        <v>454.0</v>
      </c>
      <c r="J37" s="30" t="n">
        <v>6099.9</v>
      </c>
      <c r="K37" s="31" t="n">
        <v>6049.9</v>
      </c>
      <c r="L37" s="32" t="n">
        <v>21.0</v>
      </c>
      <c r="M37" s="33" t="n">
        <v>4827.3</v>
      </c>
      <c r="N37" s="34" t="n">
        <v>7.4</v>
      </c>
      <c r="O37" s="35" t="n">
        <v>5999.9</v>
      </c>
      <c r="P37" s="36"/>
      <c r="Q37" s="37" t="n">
        <f>=IF(AND(P37&lt;&gt;"", M37&lt;&gt;"", P37&lt;=M37), N37, "-")</f>
        <v>0.0</v>
      </c>
      <c r="R37" s="38" t="str">
        <f>=IF(ISBLANK(P37), "", "Hayır")</f>
      </c>
      <c r="S37" s="39"/>
      <c r="T37" s="40" t="inlineStr">
        <is>
          <t>0ccce5da-14ad-4788-8cbf-ed98d2216bae</t>
        </is>
      </c>
    </row>
    <row r="38">
      <c r="A38" s="21" t="inlineStr">
        <is>
          <t>Tosca Bohem Berjer Ceviz Ahşap, Sütlü Kahve</t>
        </is>
      </c>
      <c r="B38" s="22" t="inlineStr">
        <is>
          <t>930472455</t>
        </is>
      </c>
      <c r="C38" s="23" t="inlineStr">
        <is>
          <t>282019071907</t>
        </is>
      </c>
      <c r="D38" s="24" t="inlineStr">
        <is>
          <t>1BRJZEM00163</t>
        </is>
      </c>
      <c r="E38" s="25" t="inlineStr">
        <is>
          <t>Tek Ebat</t>
        </is>
      </c>
      <c r="F38" s="26" t="inlineStr">
        <is>
          <t>TSCCV</t>
        </is>
      </c>
      <c r="G38" s="27" t="inlineStr">
        <is>
          <t>Berjer</t>
        </is>
      </c>
      <c r="H38" s="28" t="inlineStr">
        <is>
          <t>Zem</t>
        </is>
      </c>
      <c r="I38" s="29" t="n">
        <v>418.0</v>
      </c>
      <c r="J38" s="30" t="n">
        <v>5549.9</v>
      </c>
      <c r="K38" s="31" t="n">
        <v>5499.9</v>
      </c>
      <c r="L38" s="32" t="n">
        <v>21.0</v>
      </c>
      <c r="M38" s="33" t="n">
        <v>4328.52</v>
      </c>
      <c r="N38" s="34" t="n">
        <v>6.7</v>
      </c>
      <c r="O38" s="35" t="n">
        <v>5449.9</v>
      </c>
      <c r="P38" s="36"/>
      <c r="Q38" s="37" t="n">
        <f>=IF(AND(P38&lt;&gt;"", M38&lt;&gt;"", P38&lt;=M38), N38, "-")</f>
        <v>0.0</v>
      </c>
      <c r="R38" s="38" t="str">
        <f>=IF(ISBLANK(P38), "", "Hayır")</f>
      </c>
      <c r="S38" s="39"/>
      <c r="T38" s="40" t="inlineStr">
        <is>
          <t>0ccce5da-14ad-4788-8cbf-ed98d2216bae</t>
        </is>
      </c>
    </row>
    <row r="39">
      <c r="A39" s="21" t="inlineStr">
        <is>
          <t>Contes Bohem Sandıklı Orta Sehpa Puf/Bench , Gri</t>
        </is>
      </c>
      <c r="B39" s="22" t="inlineStr">
        <is>
          <t>898619104</t>
        </is>
      </c>
      <c r="C39" s="23" t="inlineStr">
        <is>
          <t>45190702000</t>
        </is>
      </c>
      <c r="D39" s="24" t="inlineStr">
        <is>
          <t>1BNCZEM00093</t>
        </is>
      </c>
      <c r="E39" s="25" t="inlineStr">
        <is>
          <t>Tek Ebat</t>
        </is>
      </c>
      <c r="F39" s="26" t="inlineStr">
        <is>
          <t>ZEMCNTS</t>
        </is>
      </c>
      <c r="G39" s="27" t="inlineStr">
        <is>
          <t>Puf &amp; Bench</t>
        </is>
      </c>
      <c r="H39" s="28" t="inlineStr">
        <is>
          <t>Zem</t>
        </is>
      </c>
      <c r="I39" s="29" t="n">
        <v>971.0</v>
      </c>
      <c r="J39" s="30" t="n">
        <v>2949.9</v>
      </c>
      <c r="K39" s="31" t="n">
        <v>2924.9</v>
      </c>
      <c r="L39" s="32" t="n">
        <v>21.0</v>
      </c>
      <c r="M39" s="33" t="n">
        <v>2157.49</v>
      </c>
      <c r="N39" s="34" t="n">
        <v>5.1</v>
      </c>
      <c r="O39" s="35" t="n">
        <v>2924.9</v>
      </c>
      <c r="P39" s="36"/>
      <c r="Q39" s="37" t="n">
        <f>=IF(AND(P39&lt;&gt;"", M39&lt;&gt;"", P39&lt;=M39), N39, "-")</f>
        <v>0.0</v>
      </c>
      <c r="R39" s="38" t="str">
        <f>=IF(ISBLANK(P39), "", "Hayır")</f>
      </c>
      <c r="S39" s="39"/>
      <c r="T39" s="40" t="inlineStr">
        <is>
          <t>0ccce5da-14ad-4788-8cbf-ed98d2216bae</t>
        </is>
      </c>
    </row>
    <row r="40">
      <c r="A40" s="21" t="inlineStr">
        <is>
          <t>Pavia Berjer Natürel Ahşap, Kırık Beyaz</t>
        </is>
      </c>
      <c r="B40" s="22" t="inlineStr">
        <is>
          <t>820842323</t>
        </is>
      </c>
      <c r="C40" s="23" t="inlineStr">
        <is>
          <t>19074509455</t>
        </is>
      </c>
      <c r="D40" s="24" t="inlineStr">
        <is>
          <t>1BRJZEM00095</t>
        </is>
      </c>
      <c r="E40" s="25" t="inlineStr">
        <is>
          <t>Tek Ebat</t>
        </is>
      </c>
      <c r="F40" s="26" t="inlineStr">
        <is>
          <t>ZEMPV</t>
        </is>
      </c>
      <c r="G40" s="27" t="inlineStr">
        <is>
          <t>Berjer</t>
        </is>
      </c>
      <c r="H40" s="28" t="inlineStr">
        <is>
          <t>Zem</t>
        </is>
      </c>
      <c r="I40" s="29" t="n">
        <v>865.0</v>
      </c>
      <c r="J40" s="30" t="n">
        <v>6099.9</v>
      </c>
      <c r="K40" s="31" t="n">
        <v>6049.9</v>
      </c>
      <c r="L40" s="32" t="n">
        <v>21.0</v>
      </c>
      <c r="M40" s="33" t="n">
        <v>4513.54</v>
      </c>
      <c r="N40" s="34" t="n">
        <v>4.9</v>
      </c>
      <c r="O40" s="35" t="n">
        <v>5999.9</v>
      </c>
      <c r="P40" s="36"/>
      <c r="Q40" s="37" t="n">
        <f>=IF(AND(P40&lt;&gt;"", M40&lt;&gt;"", P40&lt;=M40), N40, "-")</f>
        <v>0.0</v>
      </c>
      <c r="R40" s="38" t="str">
        <f>=IF(ISBLANK(P40), "", "Hayır")</f>
      </c>
      <c r="S40" s="39"/>
      <c r="T40" s="40" t="inlineStr">
        <is>
          <t>0ccce5da-14ad-4788-8cbf-ed98d2216bae</t>
        </is>
      </c>
    </row>
    <row r="41">
      <c r="A41" s="21" t="inlineStr">
        <is>
          <t>Rennes Sandıklı Puf, Zebra Çizgili</t>
        </is>
      </c>
      <c r="B41" s="22" t="inlineStr">
        <is>
          <t>796166295</t>
        </is>
      </c>
      <c r="C41" s="23" t="inlineStr">
        <is>
          <t>3145526921</t>
        </is>
      </c>
      <c r="D41" s="24" t="inlineStr">
        <is>
          <t>1PUFZEM00580</t>
        </is>
      </c>
      <c r="E41" s="25" t="inlineStr">
        <is>
          <t>Tek Ebat</t>
        </is>
      </c>
      <c r="F41" s="26" t="inlineStr">
        <is>
          <t>TYC7FRQ3PN170498242584437</t>
        </is>
      </c>
      <c r="G41" s="27" t="inlineStr">
        <is>
          <t>Puf &amp; Bench</t>
        </is>
      </c>
      <c r="H41" s="28" t="inlineStr">
        <is>
          <t>Zem</t>
        </is>
      </c>
      <c r="I41" s="29" t="n">
        <v>424.0</v>
      </c>
      <c r="J41" s="30" t="n">
        <v>1459.9</v>
      </c>
      <c r="K41" s="31" t="n">
        <v>1459.9</v>
      </c>
      <c r="L41" s="32" t="n">
        <v>21.0</v>
      </c>
      <c r="M41" s="33" t="n">
        <v>1021.52</v>
      </c>
      <c r="N41" s="34" t="n">
        <v>2.7</v>
      </c>
      <c r="O41" s="35" t="n">
        <v>1459.9</v>
      </c>
      <c r="P41" s="36"/>
      <c r="Q41" s="37" t="n">
        <f>=IF(AND(P41&lt;&gt;"", M41&lt;&gt;"", P41&lt;=M41), N41, "-")</f>
        <v>0.0</v>
      </c>
      <c r="R41" s="38" t="str">
        <f>=IF(ISBLANK(P41), "", "Hayır")</f>
      </c>
      <c r="S41" s="39"/>
      <c r="T41" s="40" t="inlineStr">
        <is>
          <t>0ccce5da-14ad-4788-8cbf-ed98d2216bae</t>
        </is>
      </c>
    </row>
    <row r="42">
      <c r="A42" s="21" t="inlineStr">
        <is>
          <t>İrina Sandıklı Mekanizmalı Orta Sehpa/Bench, Sütlü Kahve</t>
        </is>
      </c>
      <c r="B42" s="22" t="inlineStr">
        <is>
          <t>1096176267</t>
        </is>
      </c>
      <c r="C42" s="23" t="inlineStr">
        <is>
          <t>457980004546</t>
        </is>
      </c>
      <c r="D42" s="24" t="inlineStr">
        <is>
          <t>1PUFZEM00646</t>
        </is>
      </c>
      <c r="E42" s="25" t="inlineStr">
        <is>
          <t>Tek Ebat</t>
        </is>
      </c>
      <c r="F42" s="26" t="inlineStr">
        <is>
          <t>ZEMIRN</t>
        </is>
      </c>
      <c r="G42" s="27" t="inlineStr">
        <is>
          <t>Orta Sehpa</t>
        </is>
      </c>
      <c r="H42" s="28" t="inlineStr">
        <is>
          <t>Zem</t>
        </is>
      </c>
      <c r="I42" s="29" t="n">
        <v>494.0</v>
      </c>
      <c r="J42" s="30" t="n">
        <v>5990.0</v>
      </c>
      <c r="K42" s="31" t="n">
        <v>5940.0</v>
      </c>
      <c r="L42" s="32" t="n">
        <v>21.0</v>
      </c>
      <c r="M42" s="33" t="n">
        <v>3938.31</v>
      </c>
      <c r="N42" s="34" t="n">
        <v>8.6</v>
      </c>
      <c r="O42" s="35" t="n">
        <v>5940.0</v>
      </c>
      <c r="P42" s="36"/>
      <c r="Q42" s="37" t="n">
        <f>=IF(AND(P42&lt;&gt;"", M42&lt;&gt;"", P42&lt;=M42), N42, "-")</f>
        <v>0.0</v>
      </c>
      <c r="R42" s="38" t="str">
        <f>=IF(ISBLANK(P42), "", "Hayır")</f>
      </c>
      <c r="S42" s="39"/>
      <c r="T42" s="40" t="inlineStr">
        <is>
          <t>0ccce5da-14ad-4788-8cbf-ed98d2216bae</t>
        </is>
      </c>
    </row>
    <row r="43">
      <c r="A43" s="21" t="inlineStr">
        <is>
          <t>İrina Sandıklı Mekanizmalı Orta Sehpa/Bench, Kırık Beyaz</t>
        </is>
      </c>
      <c r="B43" s="22" t="inlineStr">
        <is>
          <t>1095640324</t>
        </is>
      </c>
      <c r="C43" s="23" t="inlineStr">
        <is>
          <t>19074500012</t>
        </is>
      </c>
      <c r="D43" s="24" t="inlineStr">
        <is>
          <t>1PUFZEM00647</t>
        </is>
      </c>
      <c r="E43" s="25" t="inlineStr">
        <is>
          <t>Tek Ebat</t>
        </is>
      </c>
      <c r="F43" s="26" t="inlineStr">
        <is>
          <t>ZEMIRN</t>
        </is>
      </c>
      <c r="G43" s="27" t="inlineStr">
        <is>
          <t>Orta Sehpa</t>
        </is>
      </c>
      <c r="H43" s="28" t="inlineStr">
        <is>
          <t>Zem</t>
        </is>
      </c>
      <c r="I43" s="29" t="n">
        <v>495.0</v>
      </c>
      <c r="J43" s="30" t="n">
        <v>5990.0</v>
      </c>
      <c r="K43" s="31" t="n">
        <v>5940.0</v>
      </c>
      <c r="L43" s="32" t="n">
        <v>21.0</v>
      </c>
      <c r="M43" s="33" t="n">
        <v>3873.11</v>
      </c>
      <c r="N43" s="34" t="n">
        <v>7.8</v>
      </c>
      <c r="O43" s="35" t="n">
        <v>5940.0</v>
      </c>
      <c r="P43" s="36"/>
      <c r="Q43" s="37" t="n">
        <f>=IF(AND(P43&lt;&gt;"", M43&lt;&gt;"", P43&lt;=M43), N43, "-")</f>
        <v>0.0</v>
      </c>
      <c r="R43" s="38" t="str">
        <f>=IF(ISBLANK(P43), "", "Hayır")</f>
      </c>
      <c r="S43" s="39"/>
      <c r="T43" s="40" t="inlineStr">
        <is>
          <t>0ccce5da-14ad-4788-8cbf-ed98d2216bae</t>
        </is>
      </c>
    </row>
    <row r="44">
      <c r="A44" s="21" t="inlineStr">
        <is>
          <t>Alaves Hazeran Jüt Çay Seti Ceviz Ahşap,sütlü Kahve (1 ADET IKİLİ BERJER 2 ADET TEKLİ BERJER)</t>
        </is>
      </c>
      <c r="B44" s="22" t="inlineStr">
        <is>
          <t>940635328</t>
        </is>
      </c>
      <c r="C44" s="23" t="inlineStr">
        <is>
          <t>00051997109</t>
        </is>
      </c>
      <c r="D44" s="24" t="inlineStr">
        <is>
          <t>1ÇYSZEM00113</t>
        </is>
      </c>
      <c r="E44" s="25" t="inlineStr">
        <is>
          <t>Tek Ebat</t>
        </is>
      </c>
      <c r="F44" s="26" t="inlineStr">
        <is>
          <t>ZEMALVS9</t>
        </is>
      </c>
      <c r="G44" s="27" t="inlineStr">
        <is>
          <t>Çay Seti Koltuk Takımı</t>
        </is>
      </c>
      <c r="H44" s="28" t="inlineStr">
        <is>
          <t>Zem</t>
        </is>
      </c>
      <c r="I44" s="29" t="n">
        <v>459.0</v>
      </c>
      <c r="J44" s="30" t="n">
        <v>20499.9</v>
      </c>
      <c r="K44" s="31" t="n">
        <v>20449.9</v>
      </c>
      <c r="L44" s="32" t="n">
        <v>20.0</v>
      </c>
      <c r="M44" s="33" t="n">
        <v>15875.85</v>
      </c>
      <c r="N44" s="34" t="n">
        <v>6.0</v>
      </c>
      <c r="O44" s="35" t="n">
        <v>20449.9</v>
      </c>
      <c r="P44" s="36"/>
      <c r="Q44" s="37" t="n">
        <f>=IF(AND(P44&lt;&gt;"", M44&lt;&gt;"", P44&lt;=M44), N44, "-")</f>
        <v>0.0</v>
      </c>
      <c r="R44" s="38" t="str">
        <f>=IF(ISBLANK(P44), "", "Hayır")</f>
      </c>
      <c r="S44" s="39"/>
      <c r="T44" s="40" t="inlineStr">
        <is>
          <t>0ccce5da-14ad-4788-8cbf-ed98d2216bae</t>
        </is>
      </c>
    </row>
    <row r="45">
      <c r="A45" s="21" t="inlineStr">
        <is>
          <t>Sevilla Bohem Üçlü Kanepe Natürel Ahşap, Kırık Beyaz</t>
        </is>
      </c>
      <c r="B45" s="22" t="inlineStr">
        <is>
          <t>940214318</t>
        </is>
      </c>
      <c r="C45" s="23" t="inlineStr">
        <is>
          <t>00051997100</t>
        </is>
      </c>
      <c r="D45" s="24" t="inlineStr">
        <is>
          <t>1BRJZEM00206</t>
        </is>
      </c>
      <c r="E45" s="25" t="inlineStr">
        <is>
          <t>Tek Ebat</t>
        </is>
      </c>
      <c r="F45" s="26" t="inlineStr">
        <is>
          <t>ZEMSVL33</t>
        </is>
      </c>
      <c r="G45" s="27" t="inlineStr">
        <is>
          <t>Kanepe</t>
        </is>
      </c>
      <c r="H45" s="28" t="inlineStr">
        <is>
          <t>Zem</t>
        </is>
      </c>
      <c r="I45" s="29" t="n">
        <v>487.0</v>
      </c>
      <c r="J45" s="30" t="n">
        <v>13399.9</v>
      </c>
      <c r="K45" s="31" t="n">
        <v>13249.9</v>
      </c>
      <c r="L45" s="32" t="n">
        <v>19.0</v>
      </c>
      <c r="M45" s="33" t="n">
        <v>10272.34</v>
      </c>
      <c r="N45" s="34" t="n">
        <v>5.5</v>
      </c>
      <c r="O45" s="35" t="n">
        <v>13249.9</v>
      </c>
      <c r="P45" s="36"/>
      <c r="Q45" s="37" t="n">
        <f>=IF(AND(P45&lt;&gt;"", M45&lt;&gt;"", P45&lt;=M45), N45, "-")</f>
        <v>0.0</v>
      </c>
      <c r="R45" s="38" t="str">
        <f>=IF(ISBLANK(P45), "", "Hayır")</f>
      </c>
      <c r="S45" s="39"/>
      <c r="T45" s="40" t="inlineStr">
        <is>
          <t>0ccce5da-14ad-4788-8cbf-ed98d2216bae</t>
        </is>
      </c>
    </row>
    <row r="46">
      <c r="A46" s="21" t="inlineStr">
        <is>
          <t>Sevilla Bohem Üçlü Kanepe Natürel Ahşap, Sütlü Kahve</t>
        </is>
      </c>
      <c r="B46" s="22" t="inlineStr">
        <is>
          <t>936702488</t>
        </is>
      </c>
      <c r="C46" s="23" t="inlineStr">
        <is>
          <t>0005199797</t>
        </is>
      </c>
      <c r="D46" s="24" t="inlineStr">
        <is>
          <t>1BRJZEM00166</t>
        </is>
      </c>
      <c r="E46" s="25" t="inlineStr">
        <is>
          <t>Tek Ebat</t>
        </is>
      </c>
      <c r="F46" s="26" t="inlineStr">
        <is>
          <t>ZEMSVL33</t>
        </is>
      </c>
      <c r="G46" s="27" t="inlineStr">
        <is>
          <t>Kanepe</t>
        </is>
      </c>
      <c r="H46" s="28" t="inlineStr">
        <is>
          <t>Zem</t>
        </is>
      </c>
      <c r="I46" s="29" t="n">
        <v>450.0</v>
      </c>
      <c r="J46" s="30" t="n">
        <v>13399.9</v>
      </c>
      <c r="K46" s="31" t="n">
        <v>13249.9</v>
      </c>
      <c r="L46" s="32" t="n">
        <v>19.0</v>
      </c>
      <c r="M46" s="33" t="n">
        <v>10437.45</v>
      </c>
      <c r="N46" s="34" t="n">
        <v>5.8</v>
      </c>
      <c r="O46" s="35" t="n">
        <v>13249.9</v>
      </c>
      <c r="P46" s="36"/>
      <c r="Q46" s="37" t="n">
        <f>=IF(AND(P46&lt;&gt;"", M46&lt;&gt;"", P46&lt;=M46), N46, "-")</f>
        <v>0.0</v>
      </c>
      <c r="R46" s="38" t="str">
        <f>=IF(ISBLANK(P46), "", "Hayır")</f>
      </c>
      <c r="S46" s="39"/>
      <c r="T46" s="40" t="inlineStr">
        <is>
          <t>0ccce5da-14ad-4788-8cbf-ed98d2216bae</t>
        </is>
      </c>
    </row>
    <row r="47">
      <c r="A47" s="21" t="inlineStr">
        <is>
          <t>Tosca Bohem Berjer Ceviz Ahşap, Kırık Beyaz</t>
        </is>
      </c>
      <c r="B47" s="22" t="inlineStr">
        <is>
          <t>929868321</t>
        </is>
      </c>
      <c r="C47" s="23" t="inlineStr">
        <is>
          <t>1907458528</t>
        </is>
      </c>
      <c r="D47" s="24" t="inlineStr">
        <is>
          <t>1BRJZEM00159</t>
        </is>
      </c>
      <c r="E47" s="25" t="inlineStr">
        <is>
          <t>Tek Ebat</t>
        </is>
      </c>
      <c r="F47" s="26" t="inlineStr">
        <is>
          <t>TSCCV</t>
        </is>
      </c>
      <c r="G47" s="27" t="inlineStr">
        <is>
          <t>Berjer</t>
        </is>
      </c>
      <c r="H47" s="28" t="inlineStr">
        <is>
          <t>Zem</t>
        </is>
      </c>
      <c r="I47" s="29" t="n">
        <v>459.0</v>
      </c>
      <c r="J47" s="30" t="n">
        <v>5549.9</v>
      </c>
      <c r="K47" s="31" t="n">
        <v>5499.9</v>
      </c>
      <c r="L47" s="32" t="n">
        <v>21.0</v>
      </c>
      <c r="M47" s="33" t="n">
        <v>4158.5</v>
      </c>
      <c r="N47" s="34" t="n">
        <v>5.3</v>
      </c>
      <c r="O47" s="35" t="n">
        <v>5449.9</v>
      </c>
      <c r="P47" s="36"/>
      <c r="Q47" s="37" t="n">
        <f>=IF(AND(P47&lt;&gt;"", M47&lt;&gt;"", P47&lt;=M47), N47, "-")</f>
        <v>0.0</v>
      </c>
      <c r="R47" s="38" t="str">
        <f>=IF(ISBLANK(P47), "", "Hayır")</f>
      </c>
      <c r="S47" s="39"/>
      <c r="T47" s="40" t="inlineStr">
        <is>
          <t>0ccce5da-14ad-4788-8cbf-ed98d2216bae</t>
        </is>
      </c>
    </row>
    <row r="48">
      <c r="A48" s="21" t="inlineStr">
        <is>
          <t>Tosca Bohem Berjer Natürel Ahşap, Sütlü Kahve</t>
        </is>
      </c>
      <c r="B48" s="22" t="inlineStr">
        <is>
          <t>850028773</t>
        </is>
      </c>
      <c r="C48" s="23" t="inlineStr">
        <is>
          <t>19075219077</t>
        </is>
      </c>
      <c r="D48" s="24" t="inlineStr">
        <is>
          <t>1BRJZEM00133</t>
        </is>
      </c>
      <c r="E48" s="25" t="inlineStr">
        <is>
          <t>Tek Ebat</t>
        </is>
      </c>
      <c r="F48" s="26" t="inlineStr">
        <is>
          <t>ZEMTSC</t>
        </is>
      </c>
      <c r="G48" s="27" t="inlineStr">
        <is>
          <t>Berjer</t>
        </is>
      </c>
      <c r="H48" s="28" t="inlineStr">
        <is>
          <t>Zem</t>
        </is>
      </c>
      <c r="I48" s="29" t="n">
        <v>803.0</v>
      </c>
      <c r="J48" s="30" t="n">
        <v>5549.9</v>
      </c>
      <c r="K48" s="31" t="n">
        <v>5253.27</v>
      </c>
      <c r="L48" s="32" t="n">
        <v>16.2</v>
      </c>
      <c r="M48" s="33" t="n">
        <v>4508.52</v>
      </c>
      <c r="N48" s="34" t="n">
        <v>7.8</v>
      </c>
      <c r="O48" s="35" t="n">
        <v>5203.27</v>
      </c>
      <c r="P48" s="36"/>
      <c r="Q48" s="37" t="n">
        <f>=IF(AND(P48&lt;&gt;"", M48&lt;&gt;"", P48&lt;=M48), N48, "-")</f>
        <v>0.0</v>
      </c>
      <c r="R48" s="38" t="str">
        <f>=IF(ISBLANK(P48), "", "Hayır")</f>
      </c>
      <c r="S48" s="39"/>
      <c r="T48" s="40" t="inlineStr">
        <is>
          <t>0ccce5da-14ad-4788-8cbf-ed98d2216bae</t>
        </is>
      </c>
    </row>
    <row r="49">
      <c r="A49" s="21" t="inlineStr">
        <is>
          <t>İrina Sandıklı Mekanizmalı Orta Sehpa/Bench, Taba</t>
        </is>
      </c>
      <c r="B49" s="22" t="inlineStr">
        <is>
          <t>1096176285</t>
        </is>
      </c>
      <c r="C49" s="23" t="inlineStr">
        <is>
          <t>19077850489</t>
        </is>
      </c>
      <c r="D49" s="24" t="inlineStr">
        <is>
          <t>1PUFZEM00648</t>
        </is>
      </c>
      <c r="E49" s="25" t="inlineStr">
        <is>
          <t>Tek Ebat</t>
        </is>
      </c>
      <c r="F49" s="26" t="inlineStr">
        <is>
          <t>ZEMIRN</t>
        </is>
      </c>
      <c r="G49" s="27" t="inlineStr">
        <is>
          <t>Orta Sehpa</t>
        </is>
      </c>
      <c r="H49" s="28" t="inlineStr">
        <is>
          <t>Zem</t>
        </is>
      </c>
      <c r="I49" s="29" t="n">
        <v>495.0</v>
      </c>
      <c r="J49" s="30" t="n">
        <v>6490.0</v>
      </c>
      <c r="K49" s="31" t="n">
        <v>6440.0</v>
      </c>
      <c r="L49" s="32" t="n">
        <v>21.0</v>
      </c>
      <c r="M49" s="33" t="n">
        <v>4130.33</v>
      </c>
      <c r="N49" s="34" t="n">
        <v>6.4</v>
      </c>
      <c r="O49" s="35" t="n">
        <v>6440.0</v>
      </c>
      <c r="P49" s="36"/>
      <c r="Q49" s="37" t="n">
        <f>=IF(AND(P49&lt;&gt;"", M49&lt;&gt;"", P49&lt;=M49), N49, "-")</f>
        <v>0.0</v>
      </c>
      <c r="R49" s="38" t="str">
        <f>=IF(ISBLANK(P49), "", "Hayır")</f>
      </c>
      <c r="S49" s="39"/>
      <c r="T49" s="40" t="inlineStr">
        <is>
          <t>0ccce5da-14ad-4788-8cbf-ed98d2216bae</t>
        </is>
      </c>
    </row>
    <row r="50">
      <c r="A50" s="21" t="inlineStr">
        <is>
          <t>Petra İkili Berjer, Kırık Beyaz</t>
        </is>
      </c>
      <c r="B50" s="22" t="inlineStr">
        <is>
          <t>1044498285</t>
        </is>
      </c>
      <c r="C50" s="23" t="inlineStr">
        <is>
          <t>19077523152</t>
        </is>
      </c>
      <c r="D50" s="24" t="inlineStr">
        <is>
          <t>1BRJZEM00117</t>
        </is>
      </c>
      <c r="E50" s="25" t="inlineStr">
        <is>
          <t>Tek Ebat</t>
        </is>
      </c>
      <c r="F50" s="26" t="inlineStr">
        <is>
          <t>PETRABYZ</t>
        </is>
      </c>
      <c r="G50" s="27" t="inlineStr">
        <is>
          <t>Berjer</t>
        </is>
      </c>
      <c r="H50" s="28" t="inlineStr">
        <is>
          <t>Zem</t>
        </is>
      </c>
      <c r="I50" s="29" t="n">
        <v>496.0</v>
      </c>
      <c r="J50" s="30" t="n">
        <v>10949.9</v>
      </c>
      <c r="K50" s="31" t="n">
        <v>10899.9</v>
      </c>
      <c r="L50" s="32" t="n">
        <v>21.0</v>
      </c>
      <c r="M50" s="33" t="n">
        <v>8208.74</v>
      </c>
      <c r="N50" s="34" t="n">
        <v>6.1</v>
      </c>
      <c r="O50" s="35" t="n">
        <v>10849.9</v>
      </c>
      <c r="P50" s="36"/>
      <c r="Q50" s="37" t="n">
        <f>=IF(AND(P50&lt;&gt;"", M50&lt;&gt;"", P50&lt;=M50), N50, "-")</f>
        <v>0.0</v>
      </c>
      <c r="R50" s="38" t="str">
        <f>=IF(ISBLANK(P50), "", "Hayır")</f>
      </c>
      <c r="S50" s="39"/>
      <c r="T50" s="40" t="inlineStr">
        <is>
          <t>0ccce5da-14ad-4788-8cbf-ed98d2216bae</t>
        </is>
      </c>
    </row>
    <row r="51">
      <c r="A51" s="21" t="inlineStr">
        <is>
          <t>Meira Tek Kişilik Katlanır Yataklı Koltuk, Açık Krem</t>
        </is>
      </c>
      <c r="B51" s="22" t="inlineStr">
        <is>
          <t>951473251</t>
        </is>
      </c>
      <c r="C51" s="23" t="inlineStr">
        <is>
          <t>1907805452346</t>
        </is>
      </c>
      <c r="D51" s="24" t="inlineStr">
        <is>
          <t>1BRJZEM00186</t>
        </is>
      </c>
      <c r="E51" s="25" t="inlineStr">
        <is>
          <t>Tek Ebat</t>
        </is>
      </c>
      <c r="F51" s="26" t="inlineStr">
        <is>
          <t>ZEMMEİRA</t>
        </is>
      </c>
      <c r="G51" s="27" t="inlineStr">
        <is>
          <t>Berjer</t>
        </is>
      </c>
      <c r="H51" s="28" t="inlineStr">
        <is>
          <t>Zem</t>
        </is>
      </c>
      <c r="I51" s="29" t="n">
        <v>401.0</v>
      </c>
      <c r="J51" s="30" t="n">
        <v>3649.9</v>
      </c>
      <c r="K51" s="31" t="n">
        <v>3624.9</v>
      </c>
      <c r="L51" s="32" t="n">
        <v>21.0</v>
      </c>
      <c r="M51" s="33" t="n">
        <v>2377.47</v>
      </c>
      <c r="N51" s="34" t="n">
        <v>2.7</v>
      </c>
      <c r="O51" s="35" t="n">
        <v>3574.9</v>
      </c>
      <c r="P51" s="36"/>
      <c r="Q51" s="37" t="n">
        <f>=IF(AND(P51&lt;&gt;"", M51&lt;&gt;"", P51&lt;=M51), N51, "-")</f>
        <v>0.0</v>
      </c>
      <c r="R51" s="38" t="str">
        <f>=IF(ISBLANK(P51), "", "Hayır")</f>
      </c>
      <c r="S51" s="39"/>
      <c r="T51" s="40" t="inlineStr">
        <is>
          <t>0ccce5da-14ad-4788-8cbf-ed98d2216bae</t>
        </is>
      </c>
    </row>
    <row r="52">
      <c r="A52" s="21" t="inlineStr">
        <is>
          <t>Leones Bohem Ahşap Ayaklı Kanepe, Sütlü Kahve</t>
        </is>
      </c>
      <c r="B52" s="22" t="inlineStr">
        <is>
          <t>936560372</t>
        </is>
      </c>
      <c r="C52" s="23" t="inlineStr">
        <is>
          <t>0005199794</t>
        </is>
      </c>
      <c r="D52" s="24" t="inlineStr">
        <is>
          <t>1KNPZEM00170</t>
        </is>
      </c>
      <c r="E52" s="25" t="inlineStr">
        <is>
          <t>Tek Ebat</t>
        </is>
      </c>
      <c r="F52" s="26" t="inlineStr">
        <is>
          <t>ZEMLEO</t>
        </is>
      </c>
      <c r="G52" s="27" t="inlineStr">
        <is>
          <t>Kanepe</t>
        </is>
      </c>
      <c r="H52" s="28" t="inlineStr">
        <is>
          <t>Zem</t>
        </is>
      </c>
      <c r="I52" s="29" t="n">
        <v>413.0</v>
      </c>
      <c r="J52" s="30" t="n">
        <v>15749.9</v>
      </c>
      <c r="K52" s="31" t="n">
        <v>15599.9</v>
      </c>
      <c r="L52" s="32" t="n">
        <v>19.0</v>
      </c>
      <c r="M52" s="33" t="n">
        <v>12834.43</v>
      </c>
      <c r="N52" s="34" t="n">
        <v>7.6</v>
      </c>
      <c r="O52" s="35" t="n">
        <v>15599.9</v>
      </c>
      <c r="P52" s="36"/>
      <c r="Q52" s="37" t="n">
        <f>=IF(AND(P52&lt;&gt;"", M52&lt;&gt;"", P52&lt;=M52), N52, "-")</f>
        <v>0.0</v>
      </c>
      <c r="R52" s="38" t="str">
        <f>=IF(ISBLANK(P52), "", "Hayır")</f>
      </c>
      <c r="S52" s="39"/>
      <c r="T52" s="40" t="inlineStr">
        <is>
          <t>0ccce5da-14ad-4788-8cbf-ed98d2216bae</t>
        </is>
      </c>
    </row>
    <row r="53">
      <c r="A53" s="21" t="inlineStr">
        <is>
          <t>Bahama Bohem Ahşap Berjer, Açık Krem</t>
        </is>
      </c>
      <c r="B53" s="22" t="inlineStr">
        <is>
          <t>917996135</t>
        </is>
      </c>
      <c r="C53" s="23" t="inlineStr">
        <is>
          <t>1907200057</t>
        </is>
      </c>
      <c r="D53" s="24" t="inlineStr">
        <is>
          <t>1BRJZEM00160</t>
        </is>
      </c>
      <c r="E53" s="25" t="inlineStr">
        <is>
          <t>Tek Ebat</t>
        </is>
      </c>
      <c r="F53" s="26" t="inlineStr">
        <is>
          <t>ZEMBHM</t>
        </is>
      </c>
      <c r="G53" s="27" t="inlineStr">
        <is>
          <t>Berjer</t>
        </is>
      </c>
      <c r="H53" s="28" t="inlineStr">
        <is>
          <t>Zem</t>
        </is>
      </c>
      <c r="I53" s="29" t="n">
        <v>482.0</v>
      </c>
      <c r="J53" s="30" t="n">
        <v>6099.9</v>
      </c>
      <c r="K53" s="31" t="n">
        <v>6049.9</v>
      </c>
      <c r="L53" s="32" t="n">
        <v>21.0</v>
      </c>
      <c r="M53" s="33" t="n">
        <v>4544.49</v>
      </c>
      <c r="N53" s="34" t="n">
        <v>5.3</v>
      </c>
      <c r="O53" s="35" t="n">
        <v>5999.9</v>
      </c>
      <c r="P53" s="36"/>
      <c r="Q53" s="37" t="n">
        <f>=IF(AND(P53&lt;&gt;"", M53&lt;&gt;"", P53&lt;=M53), N53, "-")</f>
        <v>0.0</v>
      </c>
      <c r="R53" s="38" t="str">
        <f>=IF(ISBLANK(P53), "", "Hayır")</f>
      </c>
      <c r="S53" s="39"/>
      <c r="T53" s="40" t="inlineStr">
        <is>
          <t>0ccce5da-14ad-4788-8cbf-ed98d2216bae</t>
        </is>
      </c>
    </row>
    <row r="54">
      <c r="A54" s="21" t="inlineStr">
        <is>
          <t>Jarvis Bohem Sandıklı Orta Sehpa Puf, Gri</t>
        </is>
      </c>
      <c r="B54" s="22" t="inlineStr">
        <is>
          <t>898229519</t>
        </is>
      </c>
      <c r="C54" s="23" t="inlineStr">
        <is>
          <t>190746056084</t>
        </is>
      </c>
      <c r="D54" s="24" t="inlineStr">
        <is>
          <t>1PUFZEM00612</t>
        </is>
      </c>
      <c r="E54" s="25" t="inlineStr">
        <is>
          <t>Tek Ebat</t>
        </is>
      </c>
      <c r="F54" s="26" t="inlineStr">
        <is>
          <t>ZEMJRV</t>
        </is>
      </c>
      <c r="G54" s="27" t="inlineStr">
        <is>
          <t>Puf &amp; Bench</t>
        </is>
      </c>
      <c r="H54" s="28" t="inlineStr">
        <is>
          <t>Zem</t>
        </is>
      </c>
      <c r="I54" s="29" t="n">
        <v>981.0</v>
      </c>
      <c r="J54" s="30" t="n">
        <v>1819.9</v>
      </c>
      <c r="K54" s="31" t="n">
        <v>1819.9</v>
      </c>
      <c r="L54" s="32" t="n">
        <v>21.0</v>
      </c>
      <c r="M54" s="33" t="n">
        <v>1339.07</v>
      </c>
      <c r="N54" s="34" t="n">
        <v>4.7</v>
      </c>
      <c r="O54" s="35" t="n">
        <v>1819.9</v>
      </c>
      <c r="P54" s="36"/>
      <c r="Q54" s="37" t="n">
        <f>=IF(AND(P54&lt;&gt;"", M54&lt;&gt;"", P54&lt;=M54), N54, "-")</f>
        <v>0.0</v>
      </c>
      <c r="R54" s="38" t="str">
        <f>=IF(ISBLANK(P54), "", "Hayır")</f>
      </c>
      <c r="S54" s="39"/>
      <c r="T54" s="40" t="inlineStr">
        <is>
          <t>0ccce5da-14ad-4788-8cbf-ed98d2216bae</t>
        </is>
      </c>
    </row>
    <row r="55">
      <c r="A55" s="21" t="inlineStr">
        <is>
          <t>Pavia Berjer Natürel Ahşap, Sütlü Kahve</t>
        </is>
      </c>
      <c r="B55" s="22" t="inlineStr">
        <is>
          <t>831072342</t>
        </is>
      </c>
      <c r="C55" s="23" t="inlineStr">
        <is>
          <t>190756891907</t>
        </is>
      </c>
      <c r="D55" s="24" t="inlineStr">
        <is>
          <t>1BRJZEM00102</t>
        </is>
      </c>
      <c r="E55" s="25" t="inlineStr">
        <is>
          <t>Tek Ebat</t>
        </is>
      </c>
      <c r="F55" s="26" t="inlineStr">
        <is>
          <t>ZEMPV</t>
        </is>
      </c>
      <c r="G55" s="27" t="inlineStr">
        <is>
          <t>Berjer</t>
        </is>
      </c>
      <c r="H55" s="28" t="inlineStr">
        <is>
          <t>Zem</t>
        </is>
      </c>
      <c r="I55" s="29" t="n">
        <v>232.0</v>
      </c>
      <c r="J55" s="30" t="n">
        <v>6099.9</v>
      </c>
      <c r="K55" s="31" t="n">
        <v>6049.9</v>
      </c>
      <c r="L55" s="32" t="n">
        <v>21.0</v>
      </c>
      <c r="M55" s="33" t="n">
        <v>4501.84</v>
      </c>
      <c r="N55" s="34" t="n">
        <v>4.6</v>
      </c>
      <c r="O55" s="35" t="n">
        <v>5999.9</v>
      </c>
      <c r="P55" s="36"/>
      <c r="Q55" s="37" t="n">
        <f>=IF(AND(P55&lt;&gt;"", M55&lt;&gt;"", P55&lt;=M55), N55, "-")</f>
        <v>0.0</v>
      </c>
      <c r="R55" s="38" t="str">
        <f>=IF(ISBLANK(P55), "", "Hayır")</f>
      </c>
      <c r="S55" s="39"/>
      <c r="T55" s="40" t="inlineStr">
        <is>
          <t>0ccce5da-14ad-4788-8cbf-ed98d2216bae</t>
        </is>
      </c>
    </row>
    <row r="56">
      <c r="A56" s="21" t="inlineStr">
        <is>
          <t>Fine Cream-gold Puf</t>
        </is>
      </c>
      <c r="B56" s="22" t="inlineStr">
        <is>
          <t>118095150</t>
        </is>
      </c>
      <c r="C56" s="23" t="inlineStr">
        <is>
          <t>86931ZEMLUNGE</t>
        </is>
      </c>
      <c r="D56" s="24" t="inlineStr">
        <is>
          <t>1PUFZEM00641</t>
        </is>
      </c>
      <c r="E56" s="25" t="inlineStr">
        <is>
          <t>Tek Ebat</t>
        </is>
      </c>
      <c r="F56" s="26" t="inlineStr">
        <is>
          <t>ZEMLUNGEPUF01</t>
        </is>
      </c>
      <c r="G56" s="27" t="inlineStr">
        <is>
          <t>Puf &amp; Bench</t>
        </is>
      </c>
      <c r="H56" s="28" t="inlineStr">
        <is>
          <t>Zem</t>
        </is>
      </c>
      <c r="I56" s="29" t="n">
        <v>486.0</v>
      </c>
      <c r="J56" s="30" t="n">
        <v>2419.9</v>
      </c>
      <c r="K56" s="31" t="n">
        <v>2117.27</v>
      </c>
      <c r="L56" s="32" t="n">
        <v>21.0</v>
      </c>
      <c r="M56" s="33" t="n">
        <v>1588.48</v>
      </c>
      <c r="N56" s="34" t="n">
        <v>2.7</v>
      </c>
      <c r="O56" s="35" t="n">
        <v>2117.27</v>
      </c>
      <c r="P56" s="36"/>
      <c r="Q56" s="37" t="n">
        <f>=IF(AND(P56&lt;&gt;"", M56&lt;&gt;"", P56&lt;=M56), N56, "-")</f>
        <v>0.0</v>
      </c>
      <c r="R56" s="38" t="str">
        <f>=IF(ISBLANK(P56), "", "Hayır")</f>
      </c>
      <c r="S56" s="39"/>
      <c r="T56" s="40" t="inlineStr">
        <is>
          <t>0ccce5da-14ad-4788-8cbf-ed98d2216bae</t>
        </is>
      </c>
    </row>
    <row r="57">
      <c r="A57" s="21" t="inlineStr">
        <is>
          <t>Long Line Puf, Siyah Silver</t>
        </is>
      </c>
      <c r="B57" s="22" t="inlineStr">
        <is>
          <t>79566361</t>
        </is>
      </c>
      <c r="C57" s="23" t="inlineStr">
        <is>
          <t>856ZZE3210288</t>
        </is>
      </c>
      <c r="D57" s="24" t="inlineStr">
        <is>
          <t>1PUFZEM00110</t>
        </is>
      </c>
      <c r="E57" s="25" t="inlineStr">
        <is>
          <t>Tek Ebat</t>
        </is>
      </c>
      <c r="F57" s="26" t="inlineStr">
        <is>
          <t>ZEMLONGLİNE</t>
        </is>
      </c>
      <c r="G57" s="27" t="inlineStr">
        <is>
          <t>Puf &amp; Bench</t>
        </is>
      </c>
      <c r="H57" s="28" t="inlineStr">
        <is>
          <t>Zem</t>
        </is>
      </c>
      <c r="I57" s="29" t="n">
        <v>796.0</v>
      </c>
      <c r="J57" s="30" t="n">
        <v>1199.9</v>
      </c>
      <c r="K57" s="31" t="n">
        <v>1199.9</v>
      </c>
      <c r="L57" s="32" t="n">
        <v>21.0</v>
      </c>
      <c r="M57" s="33" t="n">
        <v>793.27</v>
      </c>
      <c r="N57" s="34" t="n">
        <v>2.7</v>
      </c>
      <c r="O57" s="35" t="n">
        <v>1199.9</v>
      </c>
      <c r="P57" s="36"/>
      <c r="Q57" s="37" t="n">
        <f>=IF(AND(P57&lt;&gt;"", M57&lt;&gt;"", P57&lt;=M57), N57, "-")</f>
        <v>0.0</v>
      </c>
      <c r="R57" s="38" t="str">
        <f>=IF(ISBLANK(P57), "", "Hayır")</f>
      </c>
      <c r="S57" s="39"/>
      <c r="T57" s="40" t="inlineStr">
        <is>
          <t>0ccce5da-14ad-4788-8cbf-ed98d2216bae</t>
        </is>
      </c>
    </row>
    <row r="58">
      <c r="A58" s="21" t="inlineStr">
        <is>
          <t>İriva Sandıklı Mekanizmalı Orta Sehpa/Bench, Gri</t>
        </is>
      </c>
      <c r="B58" s="22" t="inlineStr">
        <is>
          <t>1096268981</t>
        </is>
      </c>
      <c r="C58" s="23" t="inlineStr">
        <is>
          <t>1907880003</t>
        </is>
      </c>
      <c r="D58" s="24" t="inlineStr">
        <is>
          <t>1PUFZEM00652</t>
        </is>
      </c>
      <c r="E58" s="25" t="inlineStr">
        <is>
          <t>Tek Ebat</t>
        </is>
      </c>
      <c r="F58" s="26" t="inlineStr">
        <is>
          <t>ZEMIRVA</t>
        </is>
      </c>
      <c r="G58" s="27" t="inlineStr">
        <is>
          <t>Orta Sehpa</t>
        </is>
      </c>
      <c r="H58" s="28" t="inlineStr">
        <is>
          <t>Zem</t>
        </is>
      </c>
      <c r="I58" s="29" t="n">
        <v>496.0</v>
      </c>
      <c r="J58" s="30" t="n">
        <v>5990.0</v>
      </c>
      <c r="K58" s="31" t="n">
        <v>5940.0</v>
      </c>
      <c r="L58" s="32" t="n">
        <v>21.0</v>
      </c>
      <c r="M58" s="33" t="n">
        <v>3454.9</v>
      </c>
      <c r="N58" s="34" t="n">
        <v>2.7</v>
      </c>
      <c r="O58" s="35" t="n">
        <v>5940.0</v>
      </c>
      <c r="P58" s="36"/>
      <c r="Q58" s="37" t="n">
        <f>=IF(AND(P58&lt;&gt;"", M58&lt;&gt;"", P58&lt;=M58), N58, "-")</f>
        <v>0.0</v>
      </c>
      <c r="R58" s="38" t="str">
        <f>=IF(ISBLANK(P58), "", "Hayır")</f>
      </c>
      <c r="S58" s="39"/>
      <c r="T58" s="40" t="inlineStr">
        <is>
          <t>0ccce5da-14ad-4788-8cbf-ed98d2216bae</t>
        </is>
      </c>
    </row>
    <row r="59">
      <c r="A59" s="21" t="inlineStr">
        <is>
          <t>Marcel Bohem Berjer, Kırık Beyaz</t>
        </is>
      </c>
      <c r="B59" s="22" t="inlineStr">
        <is>
          <t>1033409865</t>
        </is>
      </c>
      <c r="C59" s="23" t="inlineStr">
        <is>
          <t>45190775050</t>
        </is>
      </c>
      <c r="D59" s="24" t="inlineStr">
        <is>
          <t>1BRJZEM00222</t>
        </is>
      </c>
      <c r="E59" s="25" t="inlineStr">
        <is>
          <t>Tek Ebat</t>
        </is>
      </c>
      <c r="F59" s="26" t="inlineStr">
        <is>
          <t>ZEMMRCLL</t>
        </is>
      </c>
      <c r="G59" s="27" t="inlineStr">
        <is>
          <t>Berjer</t>
        </is>
      </c>
      <c r="H59" s="28" t="inlineStr">
        <is>
          <t>Zem</t>
        </is>
      </c>
      <c r="I59" s="29" t="n">
        <v>497.0</v>
      </c>
      <c r="J59" s="30" t="n">
        <v>4829.9</v>
      </c>
      <c r="K59" s="31" t="n">
        <v>4804.9</v>
      </c>
      <c r="L59" s="32" t="n">
        <v>21.0</v>
      </c>
      <c r="M59" s="33" t="n">
        <v>3685.66</v>
      </c>
      <c r="N59" s="34" t="n">
        <v>6.2</v>
      </c>
      <c r="O59" s="35" t="n">
        <v>4754.9</v>
      </c>
      <c r="P59" s="36"/>
      <c r="Q59" s="37" t="n">
        <f>=IF(AND(P59&lt;&gt;"", M59&lt;&gt;"", P59&lt;=M59), N59, "-")</f>
        <v>0.0</v>
      </c>
      <c r="R59" s="38" t="str">
        <f>=IF(ISBLANK(P59), "", "Hayır")</f>
      </c>
      <c r="S59" s="39"/>
      <c r="T59" s="40" t="inlineStr">
        <is>
          <t>0ccce5da-14ad-4788-8cbf-ed98d2216bae</t>
        </is>
      </c>
    </row>
    <row r="60">
      <c r="A60" s="21" t="inlineStr">
        <is>
          <t>Sevilla Bohem Üçlü Kanepe Natürel Ahşap, Gri</t>
        </is>
      </c>
      <c r="B60" s="22" t="inlineStr">
        <is>
          <t>936905756</t>
        </is>
      </c>
      <c r="C60" s="23" t="inlineStr">
        <is>
          <t>0005199798</t>
        </is>
      </c>
      <c r="D60" s="24" t="inlineStr">
        <is>
          <t>1BRJZEM00167</t>
        </is>
      </c>
      <c r="E60" s="25" t="inlineStr">
        <is>
          <t>Tek Ebat</t>
        </is>
      </c>
      <c r="F60" s="26" t="inlineStr">
        <is>
          <t>ZEMSVL33</t>
        </is>
      </c>
      <c r="G60" s="27" t="inlineStr">
        <is>
          <t>Kanepe</t>
        </is>
      </c>
      <c r="H60" s="28" t="inlineStr">
        <is>
          <t>Zem</t>
        </is>
      </c>
      <c r="I60" s="29" t="n">
        <v>467.0</v>
      </c>
      <c r="J60" s="30" t="n">
        <v>13399.9</v>
      </c>
      <c r="K60" s="31" t="n">
        <v>13249.9</v>
      </c>
      <c r="L60" s="32" t="n">
        <v>19.0</v>
      </c>
      <c r="M60" s="33" t="n">
        <v>10055.31</v>
      </c>
      <c r="N60" s="34" t="n">
        <v>4.7</v>
      </c>
      <c r="O60" s="35" t="n">
        <v>13249.9</v>
      </c>
      <c r="P60" s="36"/>
      <c r="Q60" s="37" t="n">
        <f>=IF(AND(P60&lt;&gt;"", M60&lt;&gt;"", P60&lt;=M60), N60, "-")</f>
        <v>0.0</v>
      </c>
      <c r="R60" s="38" t="str">
        <f>=IF(ISBLANK(P60), "", "Hayır")</f>
      </c>
      <c r="S60" s="39"/>
      <c r="T60" s="40" t="inlineStr">
        <is>
          <t>0ccce5da-14ad-4788-8cbf-ed98d2216bae</t>
        </is>
      </c>
    </row>
    <row r="61">
      <c r="A61" s="21" t="inlineStr">
        <is>
          <t>Pavia Ikili Berjer Natürel Ahşap, Sütlü Kahve</t>
        </is>
      </c>
      <c r="B61" s="22" t="inlineStr">
        <is>
          <t>836304179</t>
        </is>
      </c>
      <c r="C61" s="23" t="inlineStr">
        <is>
          <t>19076036540</t>
        </is>
      </c>
      <c r="D61" s="24" t="inlineStr">
        <is>
          <t>1BRJZEM00118</t>
        </is>
      </c>
      <c r="E61" s="25" t="inlineStr">
        <is>
          <t>Tek Ebat</t>
        </is>
      </c>
      <c r="F61" s="26" t="inlineStr">
        <is>
          <t>TYC9bd12dd724fbc5e9d9d22</t>
        </is>
      </c>
      <c r="G61" s="27" t="inlineStr">
        <is>
          <t>Berjer</t>
        </is>
      </c>
      <c r="H61" s="28" t="inlineStr">
        <is>
          <t>Zem</t>
        </is>
      </c>
      <c r="I61" s="29" t="n">
        <v>443.0</v>
      </c>
      <c r="J61" s="30" t="n">
        <v>9149.9</v>
      </c>
      <c r="K61" s="31" t="n">
        <v>9099.9</v>
      </c>
      <c r="L61" s="32" t="n">
        <v>21.0</v>
      </c>
      <c r="M61" s="33" t="n">
        <v>7172.24</v>
      </c>
      <c r="N61" s="34" t="n">
        <v>7.2</v>
      </c>
      <c r="O61" s="35" t="n">
        <v>9049.9</v>
      </c>
      <c r="P61" s="36"/>
      <c r="Q61" s="37" t="n">
        <f>=IF(AND(P61&lt;&gt;"", M61&lt;&gt;"", P61&lt;=M61), N61, "-")</f>
        <v>0.0</v>
      </c>
      <c r="R61" s="38" t="str">
        <f>=IF(ISBLANK(P61), "", "Hayır")</f>
      </c>
      <c r="S61" s="39"/>
      <c r="T61" s="40" t="inlineStr">
        <is>
          <t>0ccce5da-14ad-4788-8cbf-ed98d2216bae</t>
        </is>
      </c>
    </row>
    <row r="62">
      <c r="A62" s="21" t="inlineStr">
        <is>
          <t>Favela Ahşap Ayaklı Gri Teddy Kumaş Berjer</t>
        </is>
      </c>
      <c r="B62" s="22" t="inlineStr">
        <is>
          <t>649430980</t>
        </is>
      </c>
      <c r="C62" s="23" t="inlineStr">
        <is>
          <t>58408586</t>
        </is>
      </c>
      <c r="D62" s="24" t="inlineStr">
        <is>
          <t>1BRJZEM00050</t>
        </is>
      </c>
      <c r="E62" s="25" t="inlineStr">
        <is>
          <t>Tek Ebat</t>
        </is>
      </c>
      <c r="F62" s="26" t="inlineStr">
        <is>
          <t>ZEMFAVELA</t>
        </is>
      </c>
      <c r="G62" s="27" t="inlineStr">
        <is>
          <t>Berjer</t>
        </is>
      </c>
      <c r="H62" s="28" t="inlineStr">
        <is>
          <t>Zem</t>
        </is>
      </c>
      <c r="I62" s="29" t="n">
        <v>899.0</v>
      </c>
      <c r="J62" s="30" t="n">
        <v>6999.9</v>
      </c>
      <c r="K62" s="31" t="n">
        <v>6949.9</v>
      </c>
      <c r="L62" s="32" t="n">
        <v>21.0</v>
      </c>
      <c r="M62" s="33" t="n">
        <v>4925.15</v>
      </c>
      <c r="N62" s="34" t="n">
        <v>2.9</v>
      </c>
      <c r="O62" s="35" t="n">
        <v>6899.9</v>
      </c>
      <c r="P62" s="36"/>
      <c r="Q62" s="37" t="n">
        <f>=IF(AND(P62&lt;&gt;"", M62&lt;&gt;"", P62&lt;=M62), N62, "-")</f>
        <v>0.0</v>
      </c>
      <c r="R62" s="38" t="str">
        <f>=IF(ISBLANK(P62), "", "Hayır")</f>
      </c>
      <c r="S62" s="39"/>
      <c r="T62" s="40" t="inlineStr">
        <is>
          <t>0ccce5da-14ad-4788-8cbf-ed98d2216bae</t>
        </is>
      </c>
    </row>
    <row r="63">
      <c r="A63" s="21" t="inlineStr">
        <is>
          <t>Royal Bohem Berjer, Açık Krem</t>
        </is>
      </c>
      <c r="B63" s="22" t="inlineStr">
        <is>
          <t>1076569415</t>
        </is>
      </c>
      <c r="C63" s="23" t="inlineStr">
        <is>
          <t>19075408708</t>
        </is>
      </c>
      <c r="D63" s="24" t="inlineStr">
        <is>
          <t>1BRJZEM00223</t>
        </is>
      </c>
      <c r="E63" s="25" t="inlineStr">
        <is>
          <t>Tek Ebat</t>
        </is>
      </c>
      <c r="F63" s="26" t="inlineStr">
        <is>
          <t>ZEMRYL1</t>
        </is>
      </c>
      <c r="G63" s="27" t="inlineStr">
        <is>
          <t>Berjer</t>
        </is>
      </c>
      <c r="H63" s="28" t="inlineStr">
        <is>
          <t>Zem</t>
        </is>
      </c>
      <c r="I63" s="29" t="n">
        <v>497.0</v>
      </c>
      <c r="J63" s="30" t="n">
        <v>4899.9</v>
      </c>
      <c r="K63" s="31" t="n">
        <v>4666.7</v>
      </c>
      <c r="L63" s="32" t="n">
        <v>15.8</v>
      </c>
      <c r="M63" s="33" t="n">
        <v>3520.43</v>
      </c>
      <c r="N63" s="34" t="n">
        <v>2.7</v>
      </c>
      <c r="O63" s="35" t="n">
        <v>4616.7</v>
      </c>
      <c r="P63" s="36"/>
      <c r="Q63" s="37" t="n">
        <f>=IF(AND(P63&lt;&gt;"", M63&lt;&gt;"", P63&lt;=M63), N63, "-")</f>
        <v>0.0</v>
      </c>
      <c r="R63" s="38" t="str">
        <f>=IF(ISBLANK(P63), "", "Hayır")</f>
      </c>
      <c r="S63" s="39"/>
      <c r="T63" s="40" t="inlineStr">
        <is>
          <t>0ccce5da-14ad-4788-8cbf-ed98d2216bae</t>
        </is>
      </c>
    </row>
    <row r="64">
      <c r="A64" s="21" t="inlineStr">
        <is>
          <t>Pavia Berjer Natürel Ahşap, Gri</t>
        </is>
      </c>
      <c r="B64" s="22" t="inlineStr">
        <is>
          <t>1044576339</t>
        </is>
      </c>
      <c r="C64" s="23" t="inlineStr">
        <is>
          <t>54190785405</t>
        </is>
      </c>
      <c r="D64" s="24" t="inlineStr">
        <is>
          <t>1BRJZEM00101</t>
        </is>
      </c>
      <c r="E64" s="25" t="inlineStr">
        <is>
          <t>Tek Ebat</t>
        </is>
      </c>
      <c r="F64" s="26" t="inlineStr">
        <is>
          <t>ZEMPV</t>
        </is>
      </c>
      <c r="G64" s="27" t="inlineStr">
        <is>
          <t>Berjer</t>
        </is>
      </c>
      <c r="H64" s="28" t="inlineStr">
        <is>
          <t>Zem</t>
        </is>
      </c>
      <c r="I64" s="29" t="n">
        <v>461.0</v>
      </c>
      <c r="J64" s="30" t="n">
        <v>6099.9</v>
      </c>
      <c r="K64" s="31" t="n">
        <v>6049.9</v>
      </c>
      <c r="L64" s="32" t="n">
        <v>21.0</v>
      </c>
      <c r="M64" s="33" t="n">
        <v>4612.19</v>
      </c>
      <c r="N64" s="34" t="n">
        <v>6.5</v>
      </c>
      <c r="O64" s="35" t="n">
        <v>5999.9</v>
      </c>
      <c r="P64" s="36"/>
      <c r="Q64" s="37" t="n">
        <f>=IF(AND(P64&lt;&gt;"", M64&lt;&gt;"", P64&lt;=M64), N64, "-")</f>
        <v>0.0</v>
      </c>
      <c r="R64" s="38" t="str">
        <f>=IF(ISBLANK(P64), "", "Hayır")</f>
      </c>
      <c r="S64" s="39"/>
      <c r="T64" s="40" t="inlineStr">
        <is>
          <t>0ccce5da-14ad-4788-8cbf-ed98d2216bae</t>
        </is>
      </c>
    </row>
    <row r="65">
      <c r="A65" s="21" t="inlineStr">
        <is>
          <t>Marcel Bohem Berjer, Sütlü Kahve/Taba Deri Sırt</t>
        </is>
      </c>
      <c r="B65" s="22" t="inlineStr">
        <is>
          <t>1033412768</t>
        </is>
      </c>
      <c r="C65" s="23" t="inlineStr">
        <is>
          <t>45190775150</t>
        </is>
      </c>
      <c r="D65" s="24" t="inlineStr">
        <is>
          <t>1BRJZEM00221</t>
        </is>
      </c>
      <c r="E65" s="25" t="inlineStr">
        <is>
          <t>Tek Ebat</t>
        </is>
      </c>
      <c r="F65" s="26" t="inlineStr">
        <is>
          <t>ZEMMRCLL</t>
        </is>
      </c>
      <c r="G65" s="27" t="inlineStr">
        <is>
          <t>Berjer</t>
        </is>
      </c>
      <c r="H65" s="28" t="inlineStr">
        <is>
          <t>Zem</t>
        </is>
      </c>
      <c r="I65" s="29" t="n">
        <v>476.0</v>
      </c>
      <c r="J65" s="30" t="n">
        <v>5449.9</v>
      </c>
      <c r="K65" s="31" t="n">
        <v>4970.69</v>
      </c>
      <c r="L65" s="32" t="n">
        <v>21.0</v>
      </c>
      <c r="M65" s="33" t="n">
        <v>4073.07</v>
      </c>
      <c r="N65" s="34" t="n">
        <v>5.7</v>
      </c>
      <c r="O65" s="35" t="n">
        <v>4920.69</v>
      </c>
      <c r="P65" s="36"/>
      <c r="Q65" s="37" t="n">
        <f>=IF(AND(P65&lt;&gt;"", M65&lt;&gt;"", P65&lt;=M65), N65, "-")</f>
        <v>0.0</v>
      </c>
      <c r="R65" s="38" t="str">
        <f>=IF(ISBLANK(P65), "", "Hayır")</f>
      </c>
      <c r="S65" s="39"/>
      <c r="T65" s="40" t="inlineStr">
        <is>
          <t>0ccce5da-14ad-4788-8cbf-ed98d2216bae</t>
        </is>
      </c>
    </row>
    <row r="66">
      <c r="A66" s="21" t="inlineStr">
        <is>
          <t>Favela Bohem Çay Seti Natürel Ahşap, Sütlü Kahve (1 ADET İKİLİ BERJER 2 ADET TEKLİ BERJER)</t>
        </is>
      </c>
      <c r="B66" s="22" t="inlineStr">
        <is>
          <t>942217260</t>
        </is>
      </c>
      <c r="C66" s="23" t="inlineStr">
        <is>
          <t>19074538999</t>
        </is>
      </c>
      <c r="D66" s="24" t="inlineStr">
        <is>
          <t>1ÇYSZEM00042</t>
        </is>
      </c>
      <c r="E66" s="25" t="inlineStr">
        <is>
          <t>Tek Ebat</t>
        </is>
      </c>
      <c r="F66" s="26" t="inlineStr">
        <is>
          <t>ZEMFVNST7</t>
        </is>
      </c>
      <c r="G66" s="27" t="inlineStr">
        <is>
          <t>Çay Seti Koltuk Takımı</t>
        </is>
      </c>
      <c r="H66" s="28" t="inlineStr">
        <is>
          <t>Zem</t>
        </is>
      </c>
      <c r="I66" s="29" t="n">
        <v>489.0</v>
      </c>
      <c r="J66" s="30" t="n">
        <v>23499.9</v>
      </c>
      <c r="K66" s="31" t="n">
        <v>23449.9</v>
      </c>
      <c r="L66" s="32" t="n">
        <v>20.0</v>
      </c>
      <c r="M66" s="33" t="n">
        <v>16803.36</v>
      </c>
      <c r="N66" s="34" t="n">
        <v>3.6</v>
      </c>
      <c r="O66" s="35" t="n">
        <v>23449.9</v>
      </c>
      <c r="P66" s="36"/>
      <c r="Q66" s="37" t="n">
        <f>=IF(AND(P66&lt;&gt;"", M66&lt;&gt;"", P66&lt;=M66), N66, "-")</f>
        <v>0.0</v>
      </c>
      <c r="R66" s="38" t="str">
        <f>=IF(ISBLANK(P66), "", "Hayır")</f>
      </c>
      <c r="S66" s="39"/>
      <c r="T66" s="40" t="inlineStr">
        <is>
          <t>0ccce5da-14ad-4788-8cbf-ed98d2216bae</t>
        </is>
      </c>
    </row>
    <row r="67">
      <c r="A67" s="21" t="inlineStr">
        <is>
          <t>Alaves Hazeran Jüt Çay Seti Ceviz Ahşap,sütlü Kahve (1 ADET IKİLİ BERJER 1 ADET TEKLİ BERJER)</t>
        </is>
      </c>
      <c r="B67" s="22" t="inlineStr">
        <is>
          <t>940634690</t>
        </is>
      </c>
      <c r="C67" s="23" t="inlineStr">
        <is>
          <t>00051997107</t>
        </is>
      </c>
      <c r="D67" s="24" t="inlineStr">
        <is>
          <t>1ÇYSZEM00112</t>
        </is>
      </c>
      <c r="E67" s="25" t="inlineStr">
        <is>
          <t>Tek Ebat</t>
        </is>
      </c>
      <c r="F67" s="26" t="inlineStr">
        <is>
          <t>ZEMALVS7</t>
        </is>
      </c>
      <c r="G67" s="27" t="inlineStr">
        <is>
          <t>Çay Seti Koltuk Takımı</t>
        </is>
      </c>
      <c r="H67" s="28" t="inlineStr">
        <is>
          <t>Zem</t>
        </is>
      </c>
      <c r="I67" s="29" t="n">
        <v>492.0</v>
      </c>
      <c r="J67" s="30" t="n">
        <v>14449.9</v>
      </c>
      <c r="K67" s="31" t="n">
        <v>14399.9</v>
      </c>
      <c r="L67" s="32" t="n">
        <v>20.0</v>
      </c>
      <c r="M67" s="33" t="n">
        <v>11363.61</v>
      </c>
      <c r="N67" s="34" t="n">
        <v>6.2</v>
      </c>
      <c r="O67" s="35" t="n">
        <v>14399.9</v>
      </c>
      <c r="P67" s="36"/>
      <c r="Q67" s="37" t="n">
        <f>=IF(AND(P67&lt;&gt;"", M67&lt;&gt;"", P67&lt;=M67), N67, "-")</f>
        <v>0.0</v>
      </c>
      <c r="R67" s="38" t="str">
        <f>=IF(ISBLANK(P67), "", "Hayır")</f>
      </c>
      <c r="S67" s="39"/>
      <c r="T67" s="40" t="inlineStr">
        <is>
          <t>0ccce5da-14ad-4788-8cbf-ed98d2216bae</t>
        </is>
      </c>
    </row>
    <row r="68">
      <c r="A68" s="21" t="inlineStr">
        <is>
          <t>Leones Bohem Ahşap Ayaklı Kanepe, Gri</t>
        </is>
      </c>
      <c r="B68" s="22" t="inlineStr">
        <is>
          <t>936250025</t>
        </is>
      </c>
      <c r="C68" s="23" t="inlineStr">
        <is>
          <t>0005199792</t>
        </is>
      </c>
      <c r="D68" s="24" t="inlineStr">
        <is>
          <t>1KNPZEM00169</t>
        </is>
      </c>
      <c r="E68" s="25" t="inlineStr">
        <is>
          <t>Tek Ebat</t>
        </is>
      </c>
      <c r="F68" s="26" t="inlineStr">
        <is>
          <t>ZEMLEO</t>
        </is>
      </c>
      <c r="G68" s="27" t="inlineStr">
        <is>
          <t>Kanepe</t>
        </is>
      </c>
      <c r="H68" s="28" t="inlineStr">
        <is>
          <t>Zem</t>
        </is>
      </c>
      <c r="I68" s="29" t="n">
        <v>439.0</v>
      </c>
      <c r="J68" s="30" t="n">
        <v>15749.9</v>
      </c>
      <c r="K68" s="31" t="n">
        <v>15599.9</v>
      </c>
      <c r="L68" s="32" t="n">
        <v>19.0</v>
      </c>
      <c r="M68" s="33" t="n">
        <v>12570.23</v>
      </c>
      <c r="N68" s="34" t="n">
        <v>6.8</v>
      </c>
      <c r="O68" s="35" t="n">
        <v>15599.9</v>
      </c>
      <c r="P68" s="36"/>
      <c r="Q68" s="37" t="n">
        <f>=IF(AND(P68&lt;&gt;"", M68&lt;&gt;"", P68&lt;=M68), N68, "-")</f>
        <v>0.0</v>
      </c>
      <c r="R68" s="38" t="str">
        <f>=IF(ISBLANK(P68), "", "Hayır")</f>
      </c>
      <c r="S68" s="39"/>
      <c r="T68" s="40" t="inlineStr">
        <is>
          <t>0ccce5da-14ad-4788-8cbf-ed98d2216bae</t>
        </is>
      </c>
    </row>
    <row r="69">
      <c r="A69" s="21" t="inlineStr">
        <is>
          <t>Leones Bohem Ahşap Ayaklı Kanepe, Kırık Beyaz</t>
        </is>
      </c>
      <c r="B69" s="22" t="inlineStr">
        <is>
          <t>927821284</t>
        </is>
      </c>
      <c r="C69" s="23" t="inlineStr">
        <is>
          <t>4519071909005</t>
        </is>
      </c>
      <c r="D69" s="24" t="inlineStr">
        <is>
          <t>1KNPZEM00168</t>
        </is>
      </c>
      <c r="E69" s="25" t="inlineStr">
        <is>
          <t>Tek Ebat</t>
        </is>
      </c>
      <c r="F69" s="26" t="inlineStr">
        <is>
          <t>ZEMLEO</t>
        </is>
      </c>
      <c r="G69" s="27" t="inlineStr">
        <is>
          <t>Kanepe</t>
        </is>
      </c>
      <c r="H69" s="28" t="inlineStr">
        <is>
          <t>Zem</t>
        </is>
      </c>
      <c r="I69" s="29" t="n">
        <v>356.0</v>
      </c>
      <c r="J69" s="30" t="n">
        <v>15749.9</v>
      </c>
      <c r="K69" s="31" t="n">
        <v>15599.9</v>
      </c>
      <c r="L69" s="32" t="n">
        <v>19.0</v>
      </c>
      <c r="M69" s="33" t="n">
        <v>11824.69</v>
      </c>
      <c r="N69" s="34" t="n">
        <v>3.8</v>
      </c>
      <c r="O69" s="35" t="n">
        <v>15599.9</v>
      </c>
      <c r="P69" s="36"/>
      <c r="Q69" s="37" t="n">
        <f>=IF(AND(P69&lt;&gt;"", M69&lt;&gt;"", P69&lt;=M69), N69, "-")</f>
        <v>0.0</v>
      </c>
      <c r="R69" s="38" t="str">
        <f>=IF(ISBLANK(P69), "", "Hayır")</f>
      </c>
      <c r="S69" s="39"/>
      <c r="T69" s="40" t="inlineStr">
        <is>
          <t>0ccce5da-14ad-4788-8cbf-ed98d2216bae</t>
        </is>
      </c>
    </row>
    <row r="70">
      <c r="A70" s="21" t="inlineStr">
        <is>
          <t>Modica Bench, Gri</t>
        </is>
      </c>
      <c r="B70" s="22" t="inlineStr">
        <is>
          <t>902059610</t>
        </is>
      </c>
      <c r="C70" s="23" t="inlineStr">
        <is>
          <t>19072000015</t>
        </is>
      </c>
      <c r="D70" s="24" t="inlineStr">
        <is>
          <t>1BRJZEM00143</t>
        </is>
      </c>
      <c r="E70" s="25" t="inlineStr">
        <is>
          <t>Tek Ebat</t>
        </is>
      </c>
      <c r="F70" s="26" t="inlineStr">
        <is>
          <t>ZEMMDC</t>
        </is>
      </c>
      <c r="G70" s="27" t="inlineStr">
        <is>
          <t>Puf &amp; Bench</t>
        </is>
      </c>
      <c r="H70" s="28" t="inlineStr">
        <is>
          <t>Zem</t>
        </is>
      </c>
      <c r="I70" s="29" t="n">
        <v>446.0</v>
      </c>
      <c r="J70" s="30" t="n">
        <v>2999.9</v>
      </c>
      <c r="K70" s="31" t="n">
        <v>2974.9</v>
      </c>
      <c r="L70" s="32" t="n">
        <v>21.0</v>
      </c>
      <c r="M70" s="33" t="n">
        <v>2000.55</v>
      </c>
      <c r="N70" s="34" t="n">
        <v>2.7</v>
      </c>
      <c r="O70" s="35" t="n">
        <v>2974.9</v>
      </c>
      <c r="P70" s="36"/>
      <c r="Q70" s="37" t="n">
        <f>=IF(AND(P70&lt;&gt;"", M70&lt;&gt;"", P70&lt;=M70), N70, "-")</f>
        <v>0.0</v>
      </c>
      <c r="R70" s="38" t="str">
        <f>=IF(ISBLANK(P70), "", "Hayır")</f>
      </c>
      <c r="S70" s="39"/>
      <c r="T70" s="40" t="inlineStr">
        <is>
          <t>0ccce5da-14ad-4788-8cbf-ed98d2216bae</t>
        </is>
      </c>
    </row>
    <row r="71">
      <c r="A71" s="21" t="inlineStr">
        <is>
          <t>Jarvis Bohem Sandıklı Orta Sehpa Puf, Sütlü Kahve</t>
        </is>
      </c>
      <c r="B71" s="22" t="inlineStr">
        <is>
          <t>899361341</t>
        </is>
      </c>
      <c r="C71" s="23" t="inlineStr">
        <is>
          <t>200005190745</t>
        </is>
      </c>
      <c r="D71" s="24" t="inlineStr">
        <is>
          <t>1PUFZEM00613</t>
        </is>
      </c>
      <c r="E71" s="25" t="inlineStr">
        <is>
          <t>Tek Ebat</t>
        </is>
      </c>
      <c r="F71" s="26" t="inlineStr">
        <is>
          <t>ZEMJRV</t>
        </is>
      </c>
      <c r="G71" s="27" t="inlineStr">
        <is>
          <t>Puf &amp; Bench</t>
        </is>
      </c>
      <c r="H71" s="28" t="inlineStr">
        <is>
          <t>Zem</t>
        </is>
      </c>
      <c r="I71" s="29" t="n">
        <v>990.0</v>
      </c>
      <c r="J71" s="30" t="n">
        <v>1819.9</v>
      </c>
      <c r="K71" s="31" t="n">
        <v>1819.9</v>
      </c>
      <c r="L71" s="32" t="n">
        <v>21.0</v>
      </c>
      <c r="M71" s="33" t="n">
        <v>1327.2</v>
      </c>
      <c r="N71" s="34" t="n">
        <v>4.5</v>
      </c>
      <c r="O71" s="35" t="n">
        <v>1819.9</v>
      </c>
      <c r="P71" s="36"/>
      <c r="Q71" s="37" t="n">
        <f>=IF(AND(P71&lt;&gt;"", M71&lt;&gt;"", P71&lt;=M71), N71, "-")</f>
        <v>0.0</v>
      </c>
      <c r="R71" s="38" t="str">
        <f>=IF(ISBLANK(P71), "", "Hayır")</f>
      </c>
      <c r="S71" s="39"/>
      <c r="T71" s="40" t="inlineStr">
        <is>
          <t>0ccce5da-14ad-4788-8cbf-ed98d2216bae</t>
        </is>
      </c>
    </row>
    <row r="72">
      <c r="A72" s="21" t="inlineStr">
        <is>
          <t>Orso Bohem Sandıklı Puf, Gri</t>
        </is>
      </c>
      <c r="B72" s="22" t="inlineStr">
        <is>
          <t>898576636</t>
        </is>
      </c>
      <c r="C72" s="23" t="inlineStr">
        <is>
          <t>4519070931</t>
        </is>
      </c>
      <c r="D72" s="24" t="inlineStr">
        <is>
          <t>1PUFZEM00624</t>
        </is>
      </c>
      <c r="E72" s="25" t="inlineStr">
        <is>
          <t>Tek Ebat</t>
        </is>
      </c>
      <c r="F72" s="26" t="inlineStr">
        <is>
          <t>ZEMOR</t>
        </is>
      </c>
      <c r="G72" s="27" t="inlineStr">
        <is>
          <t>Puf &amp; Bench</t>
        </is>
      </c>
      <c r="H72" s="28" t="inlineStr">
        <is>
          <t>Zem</t>
        </is>
      </c>
      <c r="I72" s="29" t="n">
        <v>982.0</v>
      </c>
      <c r="J72" s="30" t="n">
        <v>2069.9</v>
      </c>
      <c r="K72" s="31" t="n">
        <v>2069.9</v>
      </c>
      <c r="L72" s="32" t="n">
        <v>21.0</v>
      </c>
      <c r="M72" s="33" t="n">
        <v>1496.29</v>
      </c>
      <c r="N72" s="34" t="n">
        <v>4.2</v>
      </c>
      <c r="O72" s="35" t="n">
        <v>2069.9</v>
      </c>
      <c r="P72" s="36"/>
      <c r="Q72" s="37" t="n">
        <f>=IF(AND(P72&lt;&gt;"", M72&lt;&gt;"", P72&lt;=M72), N72, "-")</f>
        <v>0.0</v>
      </c>
      <c r="R72" s="38" t="str">
        <f>=IF(ISBLANK(P72), "", "Hayır")</f>
      </c>
      <c r="S72" s="39"/>
      <c r="T72" s="40" t="inlineStr">
        <is>
          <t>0ccce5da-14ad-4788-8cbf-ed98d2216bae</t>
        </is>
      </c>
    </row>
    <row r="73">
      <c r="A73" s="21" t="inlineStr">
        <is>
          <t>Scala Sandıklı Bohem Ahşap Ayaklı Puf/bench, Kırık Beyaz</t>
        </is>
      </c>
      <c r="B73" s="22" t="inlineStr">
        <is>
          <t>860879064</t>
        </is>
      </c>
      <c r="C73" s="23" t="inlineStr">
        <is>
          <t>45190950360</t>
        </is>
      </c>
      <c r="D73" s="24" t="inlineStr">
        <is>
          <t>1BNCZEM00088</t>
        </is>
      </c>
      <c r="E73" s="25" t="inlineStr">
        <is>
          <t>Tek Ebat</t>
        </is>
      </c>
      <c r="F73" s="26" t="inlineStr">
        <is>
          <t>ZEMSCL</t>
        </is>
      </c>
      <c r="G73" s="27" t="inlineStr">
        <is>
          <t>Puf &amp; Bench</t>
        </is>
      </c>
      <c r="H73" s="28" t="inlineStr">
        <is>
          <t>Zem</t>
        </is>
      </c>
      <c r="I73" s="29" t="n">
        <v>801.0</v>
      </c>
      <c r="J73" s="30" t="n">
        <v>2679.9</v>
      </c>
      <c r="K73" s="31" t="n">
        <v>2654.9</v>
      </c>
      <c r="L73" s="32" t="n">
        <v>21.0</v>
      </c>
      <c r="M73" s="33" t="n">
        <v>1860.86</v>
      </c>
      <c r="N73" s="34" t="n">
        <v>3.6</v>
      </c>
      <c r="O73" s="35" t="n">
        <v>2654.9</v>
      </c>
      <c r="P73" s="36"/>
      <c r="Q73" s="37" t="n">
        <f>=IF(AND(P73&lt;&gt;"", M73&lt;&gt;"", P73&lt;=M73), N73, "-")</f>
        <v>0.0</v>
      </c>
      <c r="R73" s="38" t="str">
        <f>=IF(ISBLANK(P73), "", "Hayır")</f>
      </c>
      <c r="S73" s="39"/>
      <c r="T73" s="40" t="inlineStr">
        <is>
          <t>0ccce5da-14ad-4788-8cbf-ed98d2216bae</t>
        </is>
      </c>
    </row>
    <row r="74">
      <c r="A74" s="21" t="inlineStr">
        <is>
          <t>Tosca Bohem Berjer Natürel Ahşap, Gri</t>
        </is>
      </c>
      <c r="B74" s="22" t="inlineStr">
        <is>
          <t>849818997</t>
        </is>
      </c>
      <c r="C74" s="23" t="inlineStr">
        <is>
          <t>1907451907</t>
        </is>
      </c>
      <c r="D74" s="24" t="inlineStr">
        <is>
          <t>1BRJZEM00132</t>
        </is>
      </c>
      <c r="E74" s="25" t="inlineStr">
        <is>
          <t>Tek Ebat</t>
        </is>
      </c>
      <c r="F74" s="26" t="inlineStr">
        <is>
          <t>ZEMTSC</t>
        </is>
      </c>
      <c r="G74" s="27" t="inlineStr">
        <is>
          <t>Berjer</t>
        </is>
      </c>
      <c r="H74" s="28" t="inlineStr">
        <is>
          <t>Zem</t>
        </is>
      </c>
      <c r="I74" s="29" t="n">
        <v>457.0</v>
      </c>
      <c r="J74" s="30" t="n">
        <v>5549.9</v>
      </c>
      <c r="K74" s="31" t="n">
        <v>5499.9</v>
      </c>
      <c r="L74" s="32" t="n">
        <v>21.0</v>
      </c>
      <c r="M74" s="33" t="n">
        <v>4270.15</v>
      </c>
      <c r="N74" s="34" t="n">
        <v>6.3</v>
      </c>
      <c r="O74" s="35" t="n">
        <v>5449.9</v>
      </c>
      <c r="P74" s="36"/>
      <c r="Q74" s="37" t="n">
        <f>=IF(AND(P74&lt;&gt;"", M74&lt;&gt;"", P74&lt;=M74), N74, "-")</f>
        <v>0.0</v>
      </c>
      <c r="R74" s="38" t="str">
        <f>=IF(ISBLANK(P74), "", "Hayır")</f>
      </c>
      <c r="S74" s="39"/>
      <c r="T74" s="40" t="inlineStr">
        <is>
          <t>0ccce5da-14ad-4788-8cbf-ed98d2216bae</t>
        </is>
      </c>
    </row>
    <row r="75">
      <c r="A75" s="21" t="inlineStr">
        <is>
          <t>Rock Bohem Sallanır Berjer, Gri</t>
        </is>
      </c>
      <c r="B75" s="22" t="inlineStr">
        <is>
          <t>743181012</t>
        </is>
      </c>
      <c r="C75" s="23" t="inlineStr">
        <is>
          <t>6580408609</t>
        </is>
      </c>
      <c r="D75" s="24" t="inlineStr">
        <is>
          <t>1BRJZEM00114</t>
        </is>
      </c>
      <c r="E75" s="25" t="inlineStr">
        <is>
          <t>Tek Ebat</t>
        </is>
      </c>
      <c r="F75" s="26" t="inlineStr">
        <is>
          <t>ZEMRCK01</t>
        </is>
      </c>
      <c r="G75" s="27" t="inlineStr">
        <is>
          <t>Berjer</t>
        </is>
      </c>
      <c r="H75" s="28" t="inlineStr">
        <is>
          <t>Zem</t>
        </is>
      </c>
      <c r="I75" s="29" t="n">
        <v>454.0</v>
      </c>
      <c r="J75" s="30" t="n">
        <v>7249.9</v>
      </c>
      <c r="K75" s="31" t="n">
        <v>7199.9</v>
      </c>
      <c r="L75" s="32" t="n">
        <v>21.0</v>
      </c>
      <c r="M75" s="33" t="n">
        <v>5442.1</v>
      </c>
      <c r="N75" s="34" t="n">
        <v>5.5</v>
      </c>
      <c r="O75" s="35" t="n">
        <v>7149.9</v>
      </c>
      <c r="P75" s="36"/>
      <c r="Q75" s="37" t="n">
        <f>=IF(AND(P75&lt;&gt;"", M75&lt;&gt;"", P75&lt;=M75), N75, "-")</f>
        <v>0.0</v>
      </c>
      <c r="R75" s="38" t="str">
        <f>=IF(ISBLANK(P75), "", "Hayır")</f>
      </c>
      <c r="S75" s="39"/>
      <c r="T75" s="40" t="inlineStr">
        <is>
          <t>0ccce5da-14ad-4788-8cbf-ed98d2216bae</t>
        </is>
      </c>
    </row>
    <row r="76">
      <c r="A76" s="21" t="inlineStr">
        <is>
          <t>İriva Sandıklı Mekanizmalı Orta Sehpa/Bench, Sütlü Kahve</t>
        </is>
      </c>
      <c r="B76" s="22" t="inlineStr">
        <is>
          <t>1096268455</t>
        </is>
      </c>
      <c r="C76" s="23" t="inlineStr">
        <is>
          <t>19074563218</t>
        </is>
      </c>
      <c r="D76" s="24" t="inlineStr">
        <is>
          <t>1PUFZEM00649</t>
        </is>
      </c>
      <c r="E76" s="25" t="inlineStr">
        <is>
          <t>Tek Ebat</t>
        </is>
      </c>
      <c r="F76" s="26" t="inlineStr">
        <is>
          <t>ZEMIRVA</t>
        </is>
      </c>
      <c r="G76" s="27" t="inlineStr">
        <is>
          <t>Orta Sehpa</t>
        </is>
      </c>
      <c r="H76" s="28" t="inlineStr">
        <is>
          <t>Zem</t>
        </is>
      </c>
      <c r="I76" s="29" t="n">
        <v>498.0</v>
      </c>
      <c r="J76" s="30" t="n">
        <v>5990.0</v>
      </c>
      <c r="K76" s="31" t="n">
        <v>5940.0</v>
      </c>
      <c r="L76" s="32" t="n">
        <v>21.0</v>
      </c>
      <c r="M76" s="33" t="n">
        <v>3454.6</v>
      </c>
      <c r="N76" s="34" t="n">
        <v>2.7</v>
      </c>
      <c r="O76" s="35" t="n">
        <v>5940.0</v>
      </c>
      <c r="P76" s="36"/>
      <c r="Q76" s="37" t="n">
        <f>=IF(AND(P76&lt;&gt;"", M76&lt;&gt;"", P76&lt;=M76), N76, "-")</f>
        <v>0.0</v>
      </c>
      <c r="R76" s="38" t="str">
        <f>=IF(ISBLANK(P76), "", "Hayır")</f>
      </c>
      <c r="S76" s="39"/>
      <c r="T76" s="40" t="inlineStr">
        <is>
          <t>0ccce5da-14ad-4788-8cbf-ed98d2216bae</t>
        </is>
      </c>
    </row>
    <row r="77">
      <c r="A77" s="21" t="inlineStr">
        <is>
          <t>İrina Sandıklı Mekanizmalı Orta Sehpa/Bench, Gri</t>
        </is>
      </c>
      <c r="B77" s="22" t="inlineStr">
        <is>
          <t>1096176300</t>
        </is>
      </c>
      <c r="C77" s="23" t="inlineStr">
        <is>
          <t>4578919072058</t>
        </is>
      </c>
      <c r="D77" s="24" t="inlineStr">
        <is>
          <t>1PUFZEM00650</t>
        </is>
      </c>
      <c r="E77" s="25" t="inlineStr">
        <is>
          <t>Tek Ebat</t>
        </is>
      </c>
      <c r="F77" s="26" t="inlineStr">
        <is>
          <t>ZEMIRN</t>
        </is>
      </c>
      <c r="G77" s="27" t="inlineStr">
        <is>
          <t>Orta Sehpa</t>
        </is>
      </c>
      <c r="H77" s="28" t="inlineStr">
        <is>
          <t>Zem</t>
        </is>
      </c>
      <c r="I77" s="29" t="n">
        <v>499.0</v>
      </c>
      <c r="J77" s="30" t="n">
        <v>5990.0</v>
      </c>
      <c r="K77" s="31" t="n">
        <v>5940.0</v>
      </c>
      <c r="L77" s="32" t="n">
        <v>21.0</v>
      </c>
      <c r="M77" s="33" t="n">
        <v>3986.86</v>
      </c>
      <c r="N77" s="34" t="n">
        <v>9.2</v>
      </c>
      <c r="O77" s="35" t="n">
        <v>5940.0</v>
      </c>
      <c r="P77" s="36"/>
      <c r="Q77" s="37" t="n">
        <f>=IF(AND(P77&lt;&gt;"", M77&lt;&gt;"", P77&lt;=M77), N77, "-")</f>
        <v>0.0</v>
      </c>
      <c r="R77" s="38" t="str">
        <f>=IF(ISBLANK(P77), "", "Hayır")</f>
      </c>
      <c r="S77" s="39"/>
      <c r="T77" s="40" t="inlineStr">
        <is>
          <t>0ccce5da-14ad-4788-8cbf-ed98d2216bae</t>
        </is>
      </c>
    </row>
    <row r="78">
      <c r="A78" s="21" t="inlineStr">
        <is>
          <t>Petra Çay Seti, Siyah Kazayağı/Taba Deri (1 ADET TEKLİ BERJER 1 ADET PUF)</t>
        </is>
      </c>
      <c r="B78" s="22" t="inlineStr">
        <is>
          <t>1044573352</t>
        </is>
      </c>
      <c r="C78" s="23" t="inlineStr">
        <is>
          <t>781907295544</t>
        </is>
      </c>
      <c r="D78" s="24" t="inlineStr">
        <is>
          <t>1ÇYSZEM00128</t>
        </is>
      </c>
      <c r="E78" s="25" t="inlineStr">
        <is>
          <t>Tek Ebat</t>
        </is>
      </c>
      <c r="F78" s="26" t="inlineStr">
        <is>
          <t>ZEMPTRC21</t>
        </is>
      </c>
      <c r="G78" s="27" t="inlineStr">
        <is>
          <t>Berjer</t>
        </is>
      </c>
      <c r="H78" s="28" t="inlineStr">
        <is>
          <t>Zem</t>
        </is>
      </c>
      <c r="I78" s="29" t="n">
        <v>500.0</v>
      </c>
      <c r="J78" s="30" t="n">
        <v>9744.9</v>
      </c>
      <c r="K78" s="31" t="n">
        <v>9694.9</v>
      </c>
      <c r="L78" s="32" t="n">
        <v>21.0</v>
      </c>
      <c r="M78" s="33" t="n">
        <v>7430.97</v>
      </c>
      <c r="N78" s="34" t="n">
        <v>6.6</v>
      </c>
      <c r="O78" s="35" t="n">
        <v>9644.9</v>
      </c>
      <c r="P78" s="36"/>
      <c r="Q78" s="37" t="n">
        <f>=IF(AND(P78&lt;&gt;"", M78&lt;&gt;"", P78&lt;=M78), N78, "-")</f>
        <v>0.0</v>
      </c>
      <c r="R78" s="38" t="str">
        <f>=IF(ISBLANK(P78), "", "Hayır")</f>
      </c>
      <c r="S78" s="39"/>
      <c r="T78" s="40" t="inlineStr">
        <is>
          <t>0ccce5da-14ad-4788-8cbf-ed98d2216bae</t>
        </is>
      </c>
    </row>
    <row r="79">
      <c r="A79" s="21" t="inlineStr">
        <is>
          <t>Rock Bohem Sallanır Berjer, Tarçın/Hardal</t>
        </is>
      </c>
      <c r="B79" s="22" t="inlineStr">
        <is>
          <t>1044551791</t>
        </is>
      </c>
      <c r="C79" s="23" t="inlineStr">
        <is>
          <t>19073551125</t>
        </is>
      </c>
      <c r="D79" s="24" t="inlineStr">
        <is>
          <t>1BRJZEM00142</t>
        </is>
      </c>
      <c r="E79" s="25" t="inlineStr">
        <is>
          <t>Tek Ebat</t>
        </is>
      </c>
      <c r="F79" s="26" t="inlineStr">
        <is>
          <t>ZEMRCK01</t>
        </is>
      </c>
      <c r="G79" s="27" t="inlineStr">
        <is>
          <t>Berjer</t>
        </is>
      </c>
      <c r="H79" s="28" t="inlineStr">
        <is>
          <t>Zem</t>
        </is>
      </c>
      <c r="I79" s="29" t="n">
        <v>423.0</v>
      </c>
      <c r="J79" s="30" t="n">
        <v>7249.9</v>
      </c>
      <c r="K79" s="31" t="n">
        <v>7199.9</v>
      </c>
      <c r="L79" s="32" t="n">
        <v>21.0</v>
      </c>
      <c r="M79" s="33" t="n">
        <v>5594.2</v>
      </c>
      <c r="N79" s="34" t="n">
        <v>6.9</v>
      </c>
      <c r="O79" s="35" t="n">
        <v>7149.9</v>
      </c>
      <c r="P79" s="36"/>
      <c r="Q79" s="37" t="n">
        <f>=IF(AND(P79&lt;&gt;"", M79&lt;&gt;"", P79&lt;=M79), N79, "-")</f>
        <v>0.0</v>
      </c>
      <c r="R79" s="38" t="str">
        <f>=IF(ISBLANK(P79), "", "Hayır")</f>
      </c>
      <c r="S79" s="39"/>
      <c r="T79" s="40" t="inlineStr">
        <is>
          <t>0ccce5da-14ad-4788-8cbf-ed98d2216bae</t>
        </is>
      </c>
    </row>
    <row r="80">
      <c r="A80" s="21" t="inlineStr">
        <is>
          <t>Tosca Bohem İkili Berjer Ceviz Ahşap, Kırık Beyaz</t>
        </is>
      </c>
      <c r="B80" s="22" t="inlineStr">
        <is>
          <t>1044501279</t>
        </is>
      </c>
      <c r="C80" s="23" t="inlineStr">
        <is>
          <t>0952453520</t>
        </is>
      </c>
      <c r="D80" s="24" t="inlineStr">
        <is>
          <t>1BRJZEM00171</t>
        </is>
      </c>
      <c r="E80" s="25" t="inlineStr">
        <is>
          <t>Tek Ebat</t>
        </is>
      </c>
      <c r="F80" s="26" t="inlineStr">
        <is>
          <t>ZEMTSC22</t>
        </is>
      </c>
      <c r="G80" s="27" t="inlineStr">
        <is>
          <t>Berjer</t>
        </is>
      </c>
      <c r="H80" s="28" t="inlineStr">
        <is>
          <t>Zem</t>
        </is>
      </c>
      <c r="I80" s="29" t="n">
        <v>479.0</v>
      </c>
      <c r="J80" s="30" t="n">
        <v>8499.9</v>
      </c>
      <c r="K80" s="31" t="n">
        <v>8054.43</v>
      </c>
      <c r="L80" s="32" t="n">
        <v>16.3</v>
      </c>
      <c r="M80" s="33" t="n">
        <v>7021.63</v>
      </c>
      <c r="N80" s="34" t="n">
        <v>9.0</v>
      </c>
      <c r="O80" s="35" t="n">
        <v>8004.43</v>
      </c>
      <c r="P80" s="36"/>
      <c r="Q80" s="37" t="n">
        <f>=IF(AND(P80&lt;&gt;"", M80&lt;&gt;"", P80&lt;=M80), N80, "-")</f>
        <v>0.0</v>
      </c>
      <c r="R80" s="38" t="str">
        <f>=IF(ISBLANK(P80), "", "Hayır")</f>
      </c>
      <c r="S80" s="39"/>
      <c r="T80" s="40" t="inlineStr">
        <is>
          <t>0ccce5da-14ad-4788-8cbf-ed98d2216bae</t>
        </is>
      </c>
    </row>
    <row r="81">
      <c r="A81" s="21" t="inlineStr">
        <is>
          <t>Sevilla Bohem Ikili Kanepe Natürel Ahşap, Gri</t>
        </is>
      </c>
      <c r="B81" s="22" t="inlineStr">
        <is>
          <t>941659361</t>
        </is>
      </c>
      <c r="C81" s="23" t="inlineStr">
        <is>
          <t>19074535059</t>
        </is>
      </c>
      <c r="D81" s="24" t="inlineStr">
        <is>
          <t>1BRJZEM00209</t>
        </is>
      </c>
      <c r="E81" s="25" t="inlineStr">
        <is>
          <t>Tek Ebat</t>
        </is>
      </c>
      <c r="F81" s="26" t="inlineStr">
        <is>
          <t>ZEM01SNT</t>
        </is>
      </c>
      <c r="G81" s="27" t="inlineStr">
        <is>
          <t>Kanepe</t>
        </is>
      </c>
      <c r="H81" s="28" t="inlineStr">
        <is>
          <t>Zem</t>
        </is>
      </c>
      <c r="I81" s="29" t="n">
        <v>493.0</v>
      </c>
      <c r="J81" s="30" t="n">
        <v>9699.9</v>
      </c>
      <c r="K81" s="31" t="n">
        <v>9549.9</v>
      </c>
      <c r="L81" s="32" t="n">
        <v>19.0</v>
      </c>
      <c r="M81" s="33" t="n">
        <v>7500.24</v>
      </c>
      <c r="N81" s="34" t="n">
        <v>5.4</v>
      </c>
      <c r="O81" s="35" t="n">
        <v>9549.9</v>
      </c>
      <c r="P81" s="36"/>
      <c r="Q81" s="37" t="n">
        <f>=IF(AND(P81&lt;&gt;"", M81&lt;&gt;"", P81&lt;=M81), N81, "-")</f>
        <v>0.0</v>
      </c>
      <c r="R81" s="38" t="str">
        <f>=IF(ISBLANK(P81), "", "Hayır")</f>
      </c>
      <c r="S81" s="39"/>
      <c r="T81" s="40" t="inlineStr">
        <is>
          <t>0ccce5da-14ad-4788-8cbf-ed98d2216bae</t>
        </is>
      </c>
    </row>
    <row r="82">
      <c r="A82" s="21" t="inlineStr">
        <is>
          <t>Alaves Hazeranjüt Çay Seti Ceviz Ahşap,sütlü Kahve(1ADET IKİLİ BERJER2ADET TEKLİ BERJER 1ADET SEHPA)</t>
        </is>
      </c>
      <c r="B82" s="22" t="inlineStr">
        <is>
          <t>940635118</t>
        </is>
      </c>
      <c r="C82" s="23" t="inlineStr">
        <is>
          <t>00051997108</t>
        </is>
      </c>
      <c r="D82" s="24" t="inlineStr">
        <is>
          <t>1ÇYSZEM00037</t>
        </is>
      </c>
      <c r="E82" s="25" t="inlineStr">
        <is>
          <t>Tek Ebat</t>
        </is>
      </c>
      <c r="F82" s="26" t="inlineStr">
        <is>
          <t>ZEMALVS8</t>
        </is>
      </c>
      <c r="G82" s="27" t="inlineStr">
        <is>
          <t>Çay Seti Koltuk Takımı</t>
        </is>
      </c>
      <c r="H82" s="28" t="inlineStr">
        <is>
          <t>Zem</t>
        </is>
      </c>
      <c r="I82" s="29" t="n">
        <v>489.0</v>
      </c>
      <c r="J82" s="30" t="n">
        <v>24724.9</v>
      </c>
      <c r="K82" s="31" t="n">
        <v>24674.9</v>
      </c>
      <c r="L82" s="32" t="n">
        <v>20.0</v>
      </c>
      <c r="M82" s="33" t="n">
        <v>19435.74</v>
      </c>
      <c r="N82" s="34" t="n">
        <v>6.5</v>
      </c>
      <c r="O82" s="35" t="n">
        <v>24674.9</v>
      </c>
      <c r="P82" s="36"/>
      <c r="Q82" s="37" t="n">
        <f>=IF(AND(P82&lt;&gt;"", M82&lt;&gt;"", P82&lt;=M82), N82, "-")</f>
        <v>0.0</v>
      </c>
      <c r="R82" s="38" t="str">
        <f>=IF(ISBLANK(P82), "", "Hayır")</f>
      </c>
      <c r="S82" s="39"/>
      <c r="T82" s="40" t="inlineStr">
        <is>
          <t>0ccce5da-14ad-4788-8cbf-ed98d2216bae</t>
        </is>
      </c>
    </row>
    <row r="83">
      <c r="A83" s="21" t="inlineStr">
        <is>
          <t>Pavia Berjer Ceviz Ahşap, Hardal</t>
        </is>
      </c>
      <c r="B83" s="22" t="inlineStr">
        <is>
          <t>932941540</t>
        </is>
      </c>
      <c r="C83" s="23" t="inlineStr">
        <is>
          <t>0005199750</t>
        </is>
      </c>
      <c r="D83" s="24" t="inlineStr">
        <is>
          <t>1BRJZEM00162</t>
        </is>
      </c>
      <c r="E83" s="25" t="inlineStr">
        <is>
          <t>Tek Ebat</t>
        </is>
      </c>
      <c r="F83" s="26" t="inlineStr">
        <is>
          <t>ZEMPCV</t>
        </is>
      </c>
      <c r="G83" s="27" t="inlineStr">
        <is>
          <t>Berjer</t>
        </is>
      </c>
      <c r="H83" s="28" t="inlineStr">
        <is>
          <t>Zem</t>
        </is>
      </c>
      <c r="I83" s="29" t="n">
        <v>489.0</v>
      </c>
      <c r="J83" s="30" t="n">
        <v>6099.9</v>
      </c>
      <c r="K83" s="31" t="n">
        <v>6049.9</v>
      </c>
      <c r="L83" s="32" t="n">
        <v>21.0</v>
      </c>
      <c r="M83" s="33" t="n">
        <v>4296.13</v>
      </c>
      <c r="N83" s="34" t="n">
        <v>4.8</v>
      </c>
      <c r="O83" s="35" t="n">
        <v>5999.9</v>
      </c>
      <c r="P83" s="36"/>
      <c r="Q83" s="37" t="n">
        <f>=IF(AND(P83&lt;&gt;"", M83&lt;&gt;"", P83&lt;=M83), N83, "-")</f>
        <v>0.0</v>
      </c>
      <c r="R83" s="38" t="str">
        <f>=IF(ISBLANK(P83), "", "Hayır")</f>
      </c>
      <c r="S83" s="39"/>
      <c r="T83" s="40" t="inlineStr">
        <is>
          <t>0ccce5da-14ad-4788-8cbf-ed98d2216bae</t>
        </is>
      </c>
    </row>
    <row r="84">
      <c r="A84" s="21" t="inlineStr">
        <is>
          <t>Pavia Berjer Ceviz Ahşap, Gri</t>
        </is>
      </c>
      <c r="B84" s="22" t="inlineStr">
        <is>
          <t>931477788</t>
        </is>
      </c>
      <c r="C84" s="23" t="inlineStr">
        <is>
          <t>0231997500</t>
        </is>
      </c>
      <c r="D84" s="24" t="inlineStr">
        <is>
          <t>1BRJZEM00175</t>
        </is>
      </c>
      <c r="E84" s="25" t="inlineStr">
        <is>
          <t>Tek Ebat</t>
        </is>
      </c>
      <c r="F84" s="26" t="inlineStr">
        <is>
          <t>ZEMPCV</t>
        </is>
      </c>
      <c r="G84" s="27" t="inlineStr">
        <is>
          <t>Berjer</t>
        </is>
      </c>
      <c r="H84" s="28" t="inlineStr">
        <is>
          <t>Zem</t>
        </is>
      </c>
      <c r="I84" s="29" t="n">
        <v>471.0</v>
      </c>
      <c r="J84" s="30" t="n">
        <v>6099.9</v>
      </c>
      <c r="K84" s="31" t="n">
        <v>6049.9</v>
      </c>
      <c r="L84" s="32" t="n">
        <v>21.0</v>
      </c>
      <c r="M84" s="33" t="n">
        <v>4319.87</v>
      </c>
      <c r="N84" s="34" t="n">
        <v>2.7</v>
      </c>
      <c r="O84" s="35" t="n">
        <v>5999.9</v>
      </c>
      <c r="P84" s="36"/>
      <c r="Q84" s="37" t="n">
        <f>=IF(AND(P84&lt;&gt;"", M84&lt;&gt;"", P84&lt;=M84), N84, "-")</f>
        <v>0.0</v>
      </c>
      <c r="R84" s="38" t="str">
        <f>=IF(ISBLANK(P84), "", "Hayır")</f>
      </c>
      <c r="S84" s="39"/>
      <c r="T84" s="40" t="inlineStr">
        <is>
          <t>0ccce5da-14ad-4788-8cbf-ed98d2216bae</t>
        </is>
      </c>
    </row>
    <row r="85">
      <c r="A85" s="21" t="inlineStr">
        <is>
          <t>Tosca Bohem Berjer Natürel Ahşap, Kırık Beyaz</t>
        </is>
      </c>
      <c r="B85" s="22" t="inlineStr">
        <is>
          <t>839322875</t>
        </is>
      </c>
      <c r="C85" s="23" t="inlineStr">
        <is>
          <t>190754665089</t>
        </is>
      </c>
      <c r="D85" s="24" t="inlineStr">
        <is>
          <t>1BRJZEM00119</t>
        </is>
      </c>
      <c r="E85" s="25" t="inlineStr">
        <is>
          <t>Tek Ebat</t>
        </is>
      </c>
      <c r="F85" s="26" t="inlineStr">
        <is>
          <t>ZEMTSC</t>
        </is>
      </c>
      <c r="G85" s="27" t="inlineStr">
        <is>
          <t>Berjer</t>
        </is>
      </c>
      <c r="H85" s="28" t="inlineStr">
        <is>
          <t>Zem</t>
        </is>
      </c>
      <c r="I85" s="29" t="n">
        <v>991.0</v>
      </c>
      <c r="J85" s="30" t="n">
        <v>5549.9</v>
      </c>
      <c r="K85" s="31" t="n">
        <v>5499.9</v>
      </c>
      <c r="L85" s="32" t="n">
        <v>21.0</v>
      </c>
      <c r="M85" s="33" t="n">
        <v>4293.77</v>
      </c>
      <c r="N85" s="34" t="n">
        <v>5.7</v>
      </c>
      <c r="O85" s="35" t="n">
        <v>5449.9</v>
      </c>
      <c r="P85" s="36"/>
      <c r="Q85" s="37" t="n">
        <f>=IF(AND(P85&lt;&gt;"", M85&lt;&gt;"", P85&lt;=M85), N85, "-")</f>
        <v>0.0</v>
      </c>
      <c r="R85" s="38" t="str">
        <f>=IF(ISBLANK(P85), "", "Hayır")</f>
      </c>
      <c r="S85" s="39"/>
      <c r="T85" s="40" t="inlineStr">
        <is>
          <t>0ccce5da-14ad-4788-8cbf-ed98d2216bae</t>
        </is>
      </c>
    </row>
    <row r="86">
      <c r="A86" s="21" t="inlineStr">
        <is>
          <t>Petra Ikili Berjer, Siyah Kazayağı/taba Deri</t>
        </is>
      </c>
      <c r="B86" s="22" t="inlineStr">
        <is>
          <t>809724337</t>
        </is>
      </c>
      <c r="C86" s="23" t="inlineStr">
        <is>
          <t>45190709</t>
        </is>
      </c>
      <c r="D86" s="24" t="inlineStr">
        <is>
          <t>1BRJZEM00098</t>
        </is>
      </c>
      <c r="E86" s="25" t="inlineStr">
        <is>
          <t>Tek Ebat</t>
        </is>
      </c>
      <c r="F86" s="26" t="inlineStr">
        <is>
          <t>TYC47FD7FN170912716317878</t>
        </is>
      </c>
      <c r="G86" s="27" t="inlineStr">
        <is>
          <t>Berjer</t>
        </is>
      </c>
      <c r="H86" s="28" t="inlineStr">
        <is>
          <t>Zem</t>
        </is>
      </c>
      <c r="I86" s="29" t="n">
        <v>499.0</v>
      </c>
      <c r="J86" s="30" t="n">
        <v>12099.9</v>
      </c>
      <c r="K86" s="31" t="n">
        <v>11438.88</v>
      </c>
      <c r="L86" s="32" t="n">
        <v>16.2</v>
      </c>
      <c r="M86" s="33" t="n">
        <v>9892.5</v>
      </c>
      <c r="N86" s="34" t="n">
        <v>8.6</v>
      </c>
      <c r="O86" s="35" t="n">
        <v>11388.88</v>
      </c>
      <c r="P86" s="36"/>
      <c r="Q86" s="37" t="n">
        <f>=IF(AND(P86&lt;&gt;"", M86&lt;&gt;"", P86&lt;=M86), N86, "-")</f>
        <v>0.0</v>
      </c>
      <c r="R86" s="38" t="str">
        <f>=IF(ISBLANK(P86), "", "Hayır")</f>
      </c>
      <c r="S86" s="39"/>
      <c r="T86" s="40" t="inlineStr">
        <is>
          <t>0ccce5da-14ad-4788-8cbf-ed98d2216bae</t>
        </is>
      </c>
    </row>
    <row r="87">
      <c r="A87" s="21" t="inlineStr">
        <is>
          <t>Hippi Deri Puf, Taba</t>
        </is>
      </c>
      <c r="B87" s="22" t="inlineStr">
        <is>
          <t>307986355</t>
        </is>
      </c>
      <c r="C87" s="23" t="inlineStr">
        <is>
          <t>5458484848325</t>
        </is>
      </c>
      <c r="D87" s="24" t="inlineStr">
        <is>
          <t>1PUFZEM00642</t>
        </is>
      </c>
      <c r="E87" s="25" t="inlineStr">
        <is>
          <t>Tek Ebat</t>
        </is>
      </c>
      <c r="F87" s="26" t="inlineStr">
        <is>
          <t>TYC00468831285</t>
        </is>
      </c>
      <c r="G87" s="27" t="inlineStr">
        <is>
          <t>Puf &amp; Bench</t>
        </is>
      </c>
      <c r="H87" s="28" t="inlineStr">
        <is>
          <t>Zem</t>
        </is>
      </c>
      <c r="I87" s="29" t="n">
        <v>456.0</v>
      </c>
      <c r="J87" s="30" t="n">
        <v>6099.9</v>
      </c>
      <c r="K87" s="31" t="n">
        <v>6049.9</v>
      </c>
      <c r="L87" s="32" t="n">
        <v>21.0</v>
      </c>
      <c r="M87" s="33" t="n">
        <v>4624.16</v>
      </c>
      <c r="N87" s="34" t="n">
        <v>6.0</v>
      </c>
      <c r="O87" s="35" t="n">
        <v>6049.9</v>
      </c>
      <c r="P87" s="36"/>
      <c r="Q87" s="37" t="n">
        <f>=IF(AND(P87&lt;&gt;"", M87&lt;&gt;"", P87&lt;=M87), N87, "-")</f>
        <v>0.0</v>
      </c>
      <c r="R87" s="38" t="str">
        <f>=IF(ISBLANK(P87), "", "Hayır")</f>
      </c>
      <c r="S87" s="39"/>
      <c r="T87" s="40" t="inlineStr">
        <is>
          <t>0ccce5da-14ad-4788-8cbf-ed98d2216bae</t>
        </is>
      </c>
    </row>
    <row r="88">
      <c r="A88" s="21" t="inlineStr">
        <is>
          <t>Fine Puf, Kırık Beyaz Silver</t>
        </is>
      </c>
      <c r="B88" s="22" t="inlineStr">
        <is>
          <t>129179293</t>
        </is>
      </c>
      <c r="C88" s="23" t="inlineStr">
        <is>
          <t>8699998532531</t>
        </is>
      </c>
      <c r="D88" s="24" t="inlineStr">
        <is>
          <t>1PUFZEM00234</t>
        </is>
      </c>
      <c r="E88" s="25" t="inlineStr">
        <is>
          <t>Tek Ebat</t>
        </is>
      </c>
      <c r="F88" s="26" t="inlineStr">
        <is>
          <t>ZEMLUNGEPUF01</t>
        </is>
      </c>
      <c r="G88" s="27" t="inlineStr">
        <is>
          <t>Puf &amp; Bench</t>
        </is>
      </c>
      <c r="H88" s="28" t="inlineStr">
        <is>
          <t>Zem</t>
        </is>
      </c>
      <c r="I88" s="29" t="n">
        <v>492.0</v>
      </c>
      <c r="J88" s="30" t="n">
        <v>2419.9</v>
      </c>
      <c r="K88" s="31" t="n">
        <v>2095.8</v>
      </c>
      <c r="L88" s="32" t="n">
        <v>21.0</v>
      </c>
      <c r="M88" s="33" t="n">
        <v>1635.36</v>
      </c>
      <c r="N88" s="34" t="n">
        <v>2.7</v>
      </c>
      <c r="O88" s="35" t="n">
        <v>2095.8</v>
      </c>
      <c r="P88" s="36"/>
      <c r="Q88" s="37" t="n">
        <f>=IF(AND(P88&lt;&gt;"", M88&lt;&gt;"", P88&lt;=M88), N88, "-")</f>
        <v>0.0</v>
      </c>
      <c r="R88" s="38" t="str">
        <f>=IF(ISBLANK(P88), "", "Hayır")</f>
      </c>
      <c r="S88" s="39"/>
      <c r="T88" s="40" t="inlineStr">
        <is>
          <t>0ccce5da-14ad-4788-8cbf-ed98d2216bae</t>
        </is>
      </c>
    </row>
    <row r="89">
      <c r="A89" s="21" t="inlineStr">
        <is>
          <t>Legna Bohem Koltuk Takımı, 1 Adet Kanepe 1 Adet Berjer (Açık Krem Kanepe,Kırçıllı Mürdüm Berjer)</t>
        </is>
      </c>
      <c r="B89" s="22" t="inlineStr">
        <is>
          <t>1059607740</t>
        </is>
      </c>
      <c r="C89" s="23" t="inlineStr">
        <is>
          <t>190745208478</t>
        </is>
      </c>
      <c r="D89" s="24" t="inlineStr">
        <is>
          <t>1KLTZEM00053</t>
        </is>
      </c>
      <c r="E89" s="25" t="inlineStr">
        <is>
          <t>Tek Ebat</t>
        </is>
      </c>
      <c r="F89" s="26" t="inlineStr">
        <is>
          <t>ZEMLGN1</t>
        </is>
      </c>
      <c r="G89" s="27" t="inlineStr">
        <is>
          <t>Koltuk Takımı</t>
        </is>
      </c>
      <c r="H89" s="28" t="inlineStr">
        <is>
          <t>Zem</t>
        </is>
      </c>
      <c r="I89" s="29" t="n">
        <v>495.0</v>
      </c>
      <c r="J89" s="30" t="n">
        <v>19749.9</v>
      </c>
      <c r="K89" s="31" t="n">
        <v>18878.26</v>
      </c>
      <c r="L89" s="32" t="n">
        <v>19.0</v>
      </c>
      <c r="M89" s="33" t="n">
        <v>16293.93</v>
      </c>
      <c r="N89" s="34" t="n">
        <v>7.9</v>
      </c>
      <c r="O89" s="35" t="n">
        <v>18878.26</v>
      </c>
      <c r="P89" s="36"/>
      <c r="Q89" s="37" t="n">
        <f>=IF(AND(P89&lt;&gt;"", M89&lt;&gt;"", P89&lt;=M89), N89, "-")</f>
        <v>0.0</v>
      </c>
      <c r="R89" s="38" t="str">
        <f>=IF(ISBLANK(P89), "", "Hayır")</f>
      </c>
      <c r="S89" s="39"/>
      <c r="T89" s="40" t="inlineStr">
        <is>
          <t>0ccce5da-14ad-4788-8cbf-ed98d2216bae</t>
        </is>
      </c>
    </row>
    <row r="90">
      <c r="A90" s="21" t="inlineStr">
        <is>
          <t>Bahama Bohem Ahşap Berjer, Siyah/Beyaz Çizgili</t>
        </is>
      </c>
      <c r="B90" s="22" t="inlineStr">
        <is>
          <t>1044573770</t>
        </is>
      </c>
      <c r="C90" s="23" t="inlineStr">
        <is>
          <t>508087045</t>
        </is>
      </c>
      <c r="D90" s="24" t="inlineStr">
        <is>
          <t>1BRJZEM00161</t>
        </is>
      </c>
      <c r="E90" s="25" t="inlineStr">
        <is>
          <t>Tek Ebat</t>
        </is>
      </c>
      <c r="F90" s="26" t="inlineStr">
        <is>
          <t>ZEMBHM</t>
        </is>
      </c>
      <c r="G90" s="27" t="inlineStr">
        <is>
          <t>Berjer</t>
        </is>
      </c>
      <c r="H90" s="28" t="inlineStr">
        <is>
          <t>Zem</t>
        </is>
      </c>
      <c r="I90" s="29" t="n">
        <v>497.0</v>
      </c>
      <c r="J90" s="30" t="n">
        <v>6099.9</v>
      </c>
      <c r="K90" s="31" t="n">
        <v>6049.9</v>
      </c>
      <c r="L90" s="32" t="n">
        <v>21.0</v>
      </c>
      <c r="M90" s="33" t="n">
        <v>4741.99</v>
      </c>
      <c r="N90" s="34" t="n">
        <v>6.9</v>
      </c>
      <c r="O90" s="35" t="n">
        <v>5999.9</v>
      </c>
      <c r="P90" s="36"/>
      <c r="Q90" s="37" t="n">
        <f>=IF(AND(P90&lt;&gt;"", M90&lt;&gt;"", P90&lt;=M90), N90, "-")</f>
        <v>0.0</v>
      </c>
      <c r="R90" s="38" t="str">
        <f>=IF(ISBLANK(P90), "", "Hayır")</f>
      </c>
      <c r="S90" s="39"/>
      <c r="T90" s="40" t="inlineStr">
        <is>
          <t>0ccce5da-14ad-4788-8cbf-ed98d2216bae</t>
        </is>
      </c>
    </row>
    <row r="91">
      <c r="A91" s="21" t="inlineStr">
        <is>
          <t>Alto Bohem Sallanır Berjer, Gri</t>
        </is>
      </c>
      <c r="B91" s="22" t="inlineStr">
        <is>
          <t>984787995</t>
        </is>
      </c>
      <c r="C91" s="23" t="inlineStr">
        <is>
          <t>190772006</t>
        </is>
      </c>
      <c r="D91" s="24" t="inlineStr">
        <is>
          <t>1BRJZEM00218</t>
        </is>
      </c>
      <c r="E91" s="25" t="inlineStr">
        <is>
          <t>Tek Ebat</t>
        </is>
      </c>
      <c r="F91" s="26" t="inlineStr">
        <is>
          <t>ZEMALT</t>
        </is>
      </c>
      <c r="G91" s="27" t="inlineStr">
        <is>
          <t>Berjer</t>
        </is>
      </c>
      <c r="H91" s="28" t="inlineStr">
        <is>
          <t>Zem</t>
        </is>
      </c>
      <c r="I91" s="29" t="n">
        <v>492.0</v>
      </c>
      <c r="J91" s="30" t="n">
        <v>4399.9</v>
      </c>
      <c r="K91" s="31" t="n">
        <v>4374.9</v>
      </c>
      <c r="L91" s="32" t="n">
        <v>21.0</v>
      </c>
      <c r="M91" s="33" t="n">
        <v>3311.28</v>
      </c>
      <c r="N91" s="34" t="n">
        <v>5.1</v>
      </c>
      <c r="O91" s="35" t="n">
        <v>4324.9</v>
      </c>
      <c r="P91" s="36"/>
      <c r="Q91" s="37" t="n">
        <f>=IF(AND(P91&lt;&gt;"", M91&lt;&gt;"", P91&lt;=M91), N91, "-")</f>
        <v>0.0</v>
      </c>
      <c r="R91" s="38" t="str">
        <f>=IF(ISBLANK(P91), "", "Hayır")</f>
      </c>
      <c r="S91" s="39"/>
      <c r="T91" s="40" t="inlineStr">
        <is>
          <t>0ccce5da-14ad-4788-8cbf-ed98d2216bae</t>
        </is>
      </c>
    </row>
    <row r="92">
      <c r="A92" s="21" t="inlineStr">
        <is>
          <t>Alto Bohem Sallanır Berjer, Açık Krem</t>
        </is>
      </c>
      <c r="B92" s="22" t="inlineStr">
        <is>
          <t>984787497</t>
        </is>
      </c>
      <c r="C92" s="23" t="inlineStr">
        <is>
          <t>190772005</t>
        </is>
      </c>
      <c r="D92" s="24" t="inlineStr">
        <is>
          <t>1BRJZEM00219</t>
        </is>
      </c>
      <c r="E92" s="25" t="inlineStr">
        <is>
          <t>Tek Ebat</t>
        </is>
      </c>
      <c r="F92" s="26" t="inlineStr">
        <is>
          <t>ZEMALT</t>
        </is>
      </c>
      <c r="G92" s="27" t="inlineStr">
        <is>
          <t>Berjer</t>
        </is>
      </c>
      <c r="H92" s="28" t="inlineStr">
        <is>
          <t>Zem</t>
        </is>
      </c>
      <c r="I92" s="29" t="n">
        <v>440.0</v>
      </c>
      <c r="J92" s="30" t="n">
        <v>4399.9</v>
      </c>
      <c r="K92" s="31" t="n">
        <v>4374.9</v>
      </c>
      <c r="L92" s="32" t="n">
        <v>21.0</v>
      </c>
      <c r="M92" s="33" t="n">
        <v>3438.58</v>
      </c>
      <c r="N92" s="34" t="n">
        <v>7.1</v>
      </c>
      <c r="O92" s="35" t="n">
        <v>4324.9</v>
      </c>
      <c r="P92" s="36"/>
      <c r="Q92" s="37" t="n">
        <f>=IF(AND(P92&lt;&gt;"", M92&lt;&gt;"", P92&lt;=M92), N92, "-")</f>
        <v>0.0</v>
      </c>
      <c r="R92" s="38" t="str">
        <f>=IF(ISBLANK(P92), "", "Hayır")</f>
      </c>
      <c r="S92" s="39"/>
      <c r="T92" s="40" t="inlineStr">
        <is>
          <t>0ccce5da-14ad-4788-8cbf-ed98d2216bae</t>
        </is>
      </c>
    </row>
    <row r="93">
      <c r="A93" s="21" t="inlineStr">
        <is>
          <t>Favela Bohem Çay Seti Natürel Ahşap, Hardal (1 ADET İKİLİ BERJER 2 ADET TEKLİ BERJER)</t>
        </is>
      </c>
      <c r="B93" s="22" t="inlineStr">
        <is>
          <t>943822691</t>
        </is>
      </c>
      <c r="C93" s="23" t="inlineStr">
        <is>
          <t>190745310049</t>
        </is>
      </c>
      <c r="D93" s="24" t="inlineStr">
        <is>
          <t>1ÇYSZEM00047</t>
        </is>
      </c>
      <c r="E93" s="25" t="inlineStr">
        <is>
          <t>Tek Ebat</t>
        </is>
      </c>
      <c r="F93" s="26" t="inlineStr">
        <is>
          <t>ZEMFVNST7</t>
        </is>
      </c>
      <c r="G93" s="27" t="inlineStr">
        <is>
          <t>Çay Seti Koltuk Takımı</t>
        </is>
      </c>
      <c r="H93" s="28" t="inlineStr">
        <is>
          <t>Zem</t>
        </is>
      </c>
      <c r="I93" s="29" t="n">
        <v>498.0</v>
      </c>
      <c r="J93" s="30" t="n">
        <v>23499.9</v>
      </c>
      <c r="K93" s="31" t="n">
        <v>23449.9</v>
      </c>
      <c r="L93" s="32" t="n">
        <v>20.0</v>
      </c>
      <c r="M93" s="33" t="n">
        <v>17156.87</v>
      </c>
      <c r="N93" s="34" t="n">
        <v>4.2</v>
      </c>
      <c r="O93" s="35" t="n">
        <v>23449.9</v>
      </c>
      <c r="P93" s="36"/>
      <c r="Q93" s="37" t="n">
        <f>=IF(AND(P93&lt;&gt;"", M93&lt;&gt;"", P93&lt;=M93), N93, "-")</f>
        <v>0.0</v>
      </c>
      <c r="R93" s="38" t="str">
        <f>=IF(ISBLANK(P93), "", "Hayır")</f>
      </c>
      <c r="S93" s="39"/>
      <c r="T93" s="40" t="inlineStr">
        <is>
          <t>0ccce5da-14ad-4788-8cbf-ed98d2216bae</t>
        </is>
      </c>
    </row>
    <row r="94">
      <c r="A94" s="21" t="inlineStr">
        <is>
          <t>Sevilla Bohem İkili Kanepe Natürel Ahşap, Hardal</t>
        </is>
      </c>
      <c r="B94" s="22" t="inlineStr">
        <is>
          <t>942708232</t>
        </is>
      </c>
      <c r="C94" s="23" t="inlineStr">
        <is>
          <t>190745310018</t>
        </is>
      </c>
      <c r="D94" s="24" t="inlineStr">
        <is>
          <t>1BRJZEM00190</t>
        </is>
      </c>
      <c r="E94" s="25" t="inlineStr">
        <is>
          <t>Tek Ebat</t>
        </is>
      </c>
      <c r="F94" s="26" t="inlineStr">
        <is>
          <t>ZEM01SNT</t>
        </is>
      </c>
      <c r="G94" s="27" t="inlineStr">
        <is>
          <t>Kanepe</t>
        </is>
      </c>
      <c r="H94" s="28" t="inlineStr">
        <is>
          <t>Zem</t>
        </is>
      </c>
      <c r="I94" s="29" t="n">
        <v>495.0</v>
      </c>
      <c r="J94" s="30" t="n">
        <v>9699.9</v>
      </c>
      <c r="K94" s="31" t="n">
        <v>9549.9</v>
      </c>
      <c r="L94" s="32" t="n">
        <v>19.0</v>
      </c>
      <c r="M94" s="33" t="n">
        <v>7452.09</v>
      </c>
      <c r="N94" s="34" t="n">
        <v>4.9</v>
      </c>
      <c r="O94" s="35" t="n">
        <v>9549.9</v>
      </c>
      <c r="P94" s="36"/>
      <c r="Q94" s="37" t="n">
        <f>=IF(AND(P94&lt;&gt;"", M94&lt;&gt;"", P94&lt;=M94), N94, "-")</f>
        <v>0.0</v>
      </c>
      <c r="R94" s="38" t="str">
        <f>=IF(ISBLANK(P94), "", "Hayır")</f>
      </c>
      <c r="S94" s="39"/>
      <c r="T94" s="40" t="inlineStr">
        <is>
          <t>0ccce5da-14ad-4788-8cbf-ed98d2216bae</t>
        </is>
      </c>
    </row>
    <row r="95">
      <c r="A95" s="21" t="inlineStr">
        <is>
          <t>Sevilla Bohem İkili Kanepe Natürel Ahşap, Sütlü Kahve</t>
        </is>
      </c>
      <c r="B95" s="22" t="inlineStr">
        <is>
          <t>942030108</t>
        </is>
      </c>
      <c r="C95" s="23" t="inlineStr">
        <is>
          <t>19074535599</t>
        </is>
      </c>
      <c r="D95" s="24" t="inlineStr">
        <is>
          <t>1BRJZEM00210</t>
        </is>
      </c>
      <c r="E95" s="25" t="inlineStr">
        <is>
          <t>Tek Ebat</t>
        </is>
      </c>
      <c r="F95" s="26" t="inlineStr">
        <is>
          <t>ZEM01SNT</t>
        </is>
      </c>
      <c r="G95" s="27" t="inlineStr">
        <is>
          <t>Kanepe</t>
        </is>
      </c>
      <c r="H95" s="28" t="inlineStr">
        <is>
          <t>Zem</t>
        </is>
      </c>
      <c r="I95" s="29" t="n">
        <v>493.0</v>
      </c>
      <c r="J95" s="30" t="n">
        <v>9699.9</v>
      </c>
      <c r="K95" s="31" t="n">
        <v>9549.9</v>
      </c>
      <c r="L95" s="32" t="n">
        <v>19.0</v>
      </c>
      <c r="M95" s="33" t="n">
        <v>7788.16</v>
      </c>
      <c r="N95" s="34" t="n">
        <v>7.2</v>
      </c>
      <c r="O95" s="35" t="n">
        <v>9549.9</v>
      </c>
      <c r="P95" s="36"/>
      <c r="Q95" s="37" t="n">
        <f>=IF(AND(P95&lt;&gt;"", M95&lt;&gt;"", P95&lt;=M95), N95, "-")</f>
        <v>0.0</v>
      </c>
      <c r="R95" s="38" t="str">
        <f>=IF(ISBLANK(P95), "", "Hayır")</f>
      </c>
      <c r="S95" s="39"/>
      <c r="T95" s="40" t="inlineStr">
        <is>
          <t>0ccce5da-14ad-4788-8cbf-ed98d2216bae</t>
        </is>
      </c>
    </row>
    <row r="96">
      <c r="A96" s="21" t="inlineStr">
        <is>
          <t>Favela Bohem Çay Seti Natürel Ahşap, Kırık Beyaz (1 ADET IKİLİ BERJER 2 ADET TEKLİ BERJER)</t>
        </is>
      </c>
      <c r="B96" s="22" t="inlineStr">
        <is>
          <t>941287382</t>
        </is>
      </c>
      <c r="C96" s="23" t="inlineStr">
        <is>
          <t>19074535029</t>
        </is>
      </c>
      <c r="D96" s="24" t="inlineStr">
        <is>
          <t>1ÇYSZEM00119</t>
        </is>
      </c>
      <c r="E96" s="25" t="inlineStr">
        <is>
          <t>Tek Ebat</t>
        </is>
      </c>
      <c r="F96" s="26" t="inlineStr">
        <is>
          <t>ZEMFVNST7</t>
        </is>
      </c>
      <c r="G96" s="27" t="inlineStr">
        <is>
          <t>Çay Seti Koltuk Takımı</t>
        </is>
      </c>
      <c r="H96" s="28" t="inlineStr">
        <is>
          <t>Zem</t>
        </is>
      </c>
      <c r="I96" s="29" t="n">
        <v>498.0</v>
      </c>
      <c r="J96" s="30" t="n">
        <v>23499.9</v>
      </c>
      <c r="K96" s="31" t="n">
        <v>23449.9</v>
      </c>
      <c r="L96" s="32" t="n">
        <v>20.0</v>
      </c>
      <c r="M96" s="33" t="n">
        <v>17651.07</v>
      </c>
      <c r="N96" s="34" t="n">
        <v>5.2</v>
      </c>
      <c r="O96" s="35" t="n">
        <v>23449.9</v>
      </c>
      <c r="P96" s="36"/>
      <c r="Q96" s="37" t="n">
        <f>=IF(AND(P96&lt;&gt;"", M96&lt;&gt;"", P96&lt;=M96), N96, "-")</f>
        <v>0.0</v>
      </c>
      <c r="R96" s="38" t="str">
        <f>=IF(ISBLANK(P96), "", "Hayır")</f>
      </c>
      <c r="S96" s="39"/>
      <c r="T96" s="40" t="inlineStr">
        <is>
          <t>0ccce5da-14ad-4788-8cbf-ed98d2216bae</t>
        </is>
      </c>
    </row>
    <row r="97">
      <c r="A97" s="21" t="inlineStr">
        <is>
          <t>Sevilla Bohem Ikili Kanepe Natürel Ahşap, Kırık Beyaz</t>
        </is>
      </c>
      <c r="B97" s="22" t="inlineStr">
        <is>
          <t>941264993</t>
        </is>
      </c>
      <c r="C97" s="23" t="inlineStr">
        <is>
          <t>19074535003</t>
        </is>
      </c>
      <c r="D97" s="24" t="inlineStr">
        <is>
          <t>1BRJZEM00207</t>
        </is>
      </c>
      <c r="E97" s="25" t="inlineStr">
        <is>
          <t>Tek Ebat</t>
        </is>
      </c>
      <c r="F97" s="26" t="inlineStr">
        <is>
          <t>ZEM01SNT</t>
        </is>
      </c>
      <c r="G97" s="27" t="inlineStr">
        <is>
          <t>Kanepe</t>
        </is>
      </c>
      <c r="H97" s="28" t="inlineStr">
        <is>
          <t>Zem</t>
        </is>
      </c>
      <c r="I97" s="29" t="n">
        <v>494.0</v>
      </c>
      <c r="J97" s="30" t="n">
        <v>9699.9</v>
      </c>
      <c r="K97" s="31" t="n">
        <v>9549.9</v>
      </c>
      <c r="L97" s="32" t="n">
        <v>19.0</v>
      </c>
      <c r="M97" s="33" t="n">
        <v>7334.13</v>
      </c>
      <c r="N97" s="34" t="n">
        <v>3.9</v>
      </c>
      <c r="O97" s="35" t="n">
        <v>9549.9</v>
      </c>
      <c r="P97" s="36"/>
      <c r="Q97" s="37" t="n">
        <f>=IF(AND(P97&lt;&gt;"", M97&lt;&gt;"", P97&lt;=M97), N97, "-")</f>
        <v>0.0</v>
      </c>
      <c r="R97" s="38" t="str">
        <f>=IF(ISBLANK(P97), "", "Hayır")</f>
      </c>
      <c r="S97" s="39"/>
      <c r="T97" s="40" t="inlineStr">
        <is>
          <t>0ccce5da-14ad-4788-8cbf-ed98d2216bae</t>
        </is>
      </c>
    </row>
    <row r="98">
      <c r="A98" s="21" t="inlineStr">
        <is>
          <t>Tosca Bohem Berjer Ceviz Ahşap , Gri</t>
        </is>
      </c>
      <c r="B98" s="22" t="inlineStr">
        <is>
          <t>929868305</t>
        </is>
      </c>
      <c r="C98" s="23" t="inlineStr">
        <is>
          <t>1907458529</t>
        </is>
      </c>
      <c r="D98" s="24" t="inlineStr">
        <is>
          <t>1BRJZEM00157</t>
        </is>
      </c>
      <c r="E98" s="25" t="inlineStr">
        <is>
          <t>Tek Ebat</t>
        </is>
      </c>
      <c r="F98" s="26" t="inlineStr">
        <is>
          <t>TSCCV</t>
        </is>
      </c>
      <c r="G98" s="27" t="inlineStr">
        <is>
          <t>Berjer</t>
        </is>
      </c>
      <c r="H98" s="28" t="inlineStr">
        <is>
          <t>Zem</t>
        </is>
      </c>
      <c r="I98" s="29" t="n">
        <v>485.0</v>
      </c>
      <c r="J98" s="30" t="n">
        <v>5549.9</v>
      </c>
      <c r="K98" s="31" t="n">
        <v>5499.9</v>
      </c>
      <c r="L98" s="32" t="n">
        <v>21.0</v>
      </c>
      <c r="M98" s="33" t="n">
        <v>4241.01</v>
      </c>
      <c r="N98" s="34" t="n">
        <v>6.4</v>
      </c>
      <c r="O98" s="35" t="n">
        <v>5449.9</v>
      </c>
      <c r="P98" s="36"/>
      <c r="Q98" s="37" t="n">
        <f>=IF(AND(P98&lt;&gt;"", M98&lt;&gt;"", P98&lt;=M98), N98, "-")</f>
        <v>0.0</v>
      </c>
      <c r="R98" s="38" t="str">
        <f>=IF(ISBLANK(P98), "", "Hayır")</f>
      </c>
      <c r="S98" s="39"/>
      <c r="T98" s="40" t="inlineStr">
        <is>
          <t>0ccce5da-14ad-4788-8cbf-ed98d2216bae</t>
        </is>
      </c>
    </row>
    <row r="99">
      <c r="A99" s="21" t="inlineStr">
        <is>
          <t>Bahama Bohem Ahşap Berjer, Kahverengi Kazayağı Desenli</t>
        </is>
      </c>
      <c r="B99" s="22" t="inlineStr">
        <is>
          <t>917473537</t>
        </is>
      </c>
      <c r="C99" s="23" t="inlineStr">
        <is>
          <t>19072000560</t>
        </is>
      </c>
      <c r="D99" s="24" t="inlineStr">
        <is>
          <t>1BRJZEM00155</t>
        </is>
      </c>
      <c r="E99" s="25" t="inlineStr">
        <is>
          <t>Tek Ebat</t>
        </is>
      </c>
      <c r="F99" s="26" t="inlineStr">
        <is>
          <t>ZEMBHM</t>
        </is>
      </c>
      <c r="G99" s="27" t="inlineStr">
        <is>
          <t>Berjer</t>
        </is>
      </c>
      <c r="H99" s="28" t="inlineStr">
        <is>
          <t>Zem</t>
        </is>
      </c>
      <c r="I99" s="29" t="n">
        <v>460.0</v>
      </c>
      <c r="J99" s="30" t="n">
        <v>5999.0</v>
      </c>
      <c r="K99" s="31" t="n">
        <v>5949.0</v>
      </c>
      <c r="L99" s="32" t="n">
        <v>21.0</v>
      </c>
      <c r="M99" s="33" t="n">
        <v>4745.69</v>
      </c>
      <c r="N99" s="34" t="n">
        <v>7.3</v>
      </c>
      <c r="O99" s="35" t="n">
        <v>5899.0</v>
      </c>
      <c r="P99" s="36"/>
      <c r="Q99" s="37" t="n">
        <f>=IF(AND(P99&lt;&gt;"", M99&lt;&gt;"", P99&lt;=M99), N99, "-")</f>
        <v>0.0</v>
      </c>
      <c r="R99" s="38" t="str">
        <f>=IF(ISBLANK(P99), "", "Hayır")</f>
      </c>
      <c r="S99" s="39"/>
      <c r="T99" s="40" t="inlineStr">
        <is>
          <t>0ccce5da-14ad-4788-8cbf-ed98d2216bae</t>
        </is>
      </c>
    </row>
    <row r="100">
      <c r="A100" s="21" t="inlineStr">
        <is>
          <t>Bahama Bohem Ahşap Berjer, Gri</t>
        </is>
      </c>
      <c r="B100" s="22" t="inlineStr">
        <is>
          <t>906086713</t>
        </is>
      </c>
      <c r="C100" s="23" t="inlineStr">
        <is>
          <t>19072000945</t>
        </is>
      </c>
      <c r="D100" s="24" t="inlineStr">
        <is>
          <t>1BRJZEM00154</t>
        </is>
      </c>
      <c r="E100" s="25" t="inlineStr">
        <is>
          <t>Tek Ebat</t>
        </is>
      </c>
      <c r="F100" s="26" t="inlineStr">
        <is>
          <t>ZEMBHM</t>
        </is>
      </c>
      <c r="G100" s="27" t="inlineStr">
        <is>
          <t>Berjer</t>
        </is>
      </c>
      <c r="H100" s="28" t="inlineStr">
        <is>
          <t>Zem</t>
        </is>
      </c>
      <c r="I100" s="29" t="n">
        <v>492.0</v>
      </c>
      <c r="J100" s="30" t="n">
        <v>6099.9</v>
      </c>
      <c r="K100" s="31" t="n">
        <v>6049.9</v>
      </c>
      <c r="L100" s="32" t="n">
        <v>21.0</v>
      </c>
      <c r="M100" s="33" t="n">
        <v>4669.28</v>
      </c>
      <c r="N100" s="34" t="n">
        <v>6.9</v>
      </c>
      <c r="O100" s="35" t="n">
        <v>5999.9</v>
      </c>
      <c r="P100" s="36"/>
      <c r="Q100" s="37" t="n">
        <f>=IF(AND(P100&lt;&gt;"", M100&lt;&gt;"", P100&lt;=M100), N100, "-")</f>
        <v>0.0</v>
      </c>
      <c r="R100" s="38" t="str">
        <f>=IF(ISBLANK(P100), "", "Hayır")</f>
      </c>
      <c r="S100" s="39"/>
      <c r="T100" s="40" t="inlineStr">
        <is>
          <t>0ccce5da-14ad-4788-8cbf-ed98d2216bae</t>
        </is>
      </c>
    </row>
    <row r="101">
      <c r="A101" s="21" t="inlineStr">
        <is>
          <t>Hippi Deri Puf, Yeşil</t>
        </is>
      </c>
      <c r="B101" s="22" t="inlineStr">
        <is>
          <t>898229327</t>
        </is>
      </c>
      <c r="C101" s="23" t="inlineStr">
        <is>
          <t>19074520000</t>
        </is>
      </c>
      <c r="D101" s="24" t="inlineStr">
        <is>
          <t>1PUFZEM00617</t>
        </is>
      </c>
      <c r="E101" s="25" t="inlineStr">
        <is>
          <t>Tek Ebat</t>
        </is>
      </c>
      <c r="F101" s="26" t="inlineStr">
        <is>
          <t>TYC00468831285</t>
        </is>
      </c>
      <c r="G101" s="27" t="inlineStr">
        <is>
          <t>Puf &amp; Bench</t>
        </is>
      </c>
      <c r="H101" s="28" t="inlineStr">
        <is>
          <t>Zem</t>
        </is>
      </c>
      <c r="I101" s="29" t="n">
        <v>493.0</v>
      </c>
      <c r="J101" s="30" t="n">
        <v>6099.9</v>
      </c>
      <c r="K101" s="31" t="n">
        <v>6049.9</v>
      </c>
      <c r="L101" s="32" t="n">
        <v>21.0</v>
      </c>
      <c r="M101" s="33" t="n">
        <v>4323.75</v>
      </c>
      <c r="N101" s="34" t="n">
        <v>2.7</v>
      </c>
      <c r="O101" s="35" t="n">
        <v>6049.9</v>
      </c>
      <c r="P101" s="36"/>
      <c r="Q101" s="37" t="n">
        <f>=IF(AND(P101&lt;&gt;"", M101&lt;&gt;"", P101&lt;=M101), N101, "-")</f>
        <v>0.0</v>
      </c>
      <c r="R101" s="38" t="str">
        <f>=IF(ISBLANK(P101), "", "Hayır")</f>
      </c>
      <c r="S101" s="39"/>
      <c r="T101" s="40" t="inlineStr">
        <is>
          <t>0ccce5da-14ad-4788-8cbf-ed98d2216bae</t>
        </is>
      </c>
    </row>
    <row r="102">
      <c r="A102" s="21" t="inlineStr">
        <is>
          <t>Orso Bohem Sandıklı Puf, Kırık Beyaz</t>
        </is>
      </c>
      <c r="B102" s="22" t="inlineStr">
        <is>
          <t>861008684</t>
        </is>
      </c>
      <c r="C102" s="23" t="inlineStr">
        <is>
          <t>197831450325</t>
        </is>
      </c>
      <c r="D102" s="24" t="inlineStr">
        <is>
          <t>1PUFZEM00611</t>
        </is>
      </c>
      <c r="E102" s="25" t="inlineStr">
        <is>
          <t>Tek Ebat</t>
        </is>
      </c>
      <c r="F102" s="26" t="inlineStr">
        <is>
          <t>ZEMOR</t>
        </is>
      </c>
      <c r="G102" s="27" t="inlineStr">
        <is>
          <t>Puf &amp; Bench</t>
        </is>
      </c>
      <c r="H102" s="28" t="inlineStr">
        <is>
          <t>Zem</t>
        </is>
      </c>
      <c r="I102" s="29" t="n">
        <v>996.0</v>
      </c>
      <c r="J102" s="30" t="n">
        <v>2069.9</v>
      </c>
      <c r="K102" s="31" t="n">
        <v>1994.9</v>
      </c>
      <c r="L102" s="32" t="n">
        <v>21.0</v>
      </c>
      <c r="M102" s="33" t="n">
        <v>1480.99</v>
      </c>
      <c r="N102" s="34" t="n">
        <v>2.7</v>
      </c>
      <c r="O102" s="35" t="n">
        <v>1994.9</v>
      </c>
      <c r="P102" s="36"/>
      <c r="Q102" s="37" t="n">
        <f>=IF(AND(P102&lt;&gt;"", M102&lt;&gt;"", P102&lt;=M102), N102, "-")</f>
        <v>0.0</v>
      </c>
      <c r="R102" s="38" t="str">
        <f>=IF(ISBLANK(P102), "", "Hayır")</f>
      </c>
      <c r="S102" s="39"/>
      <c r="T102" s="40" t="inlineStr">
        <is>
          <t>0ccce5da-14ad-4788-8cbf-ed98d2216bae</t>
        </is>
      </c>
    </row>
    <row r="103">
      <c r="A103" s="21" t="inlineStr">
        <is>
          <t>Modica Bench, Kırık Beyaz</t>
        </is>
      </c>
      <c r="B103" s="22" t="inlineStr">
        <is>
          <t>839326186</t>
        </is>
      </c>
      <c r="C103" s="23" t="inlineStr">
        <is>
          <t>45355252140</t>
        </is>
      </c>
      <c r="D103" s="24" t="inlineStr">
        <is>
          <t>1BNCZEM00082</t>
        </is>
      </c>
      <c r="E103" s="25" t="inlineStr">
        <is>
          <t>Tek Ebat</t>
        </is>
      </c>
      <c r="F103" s="26" t="inlineStr">
        <is>
          <t>ZEMMDC</t>
        </is>
      </c>
      <c r="G103" s="27" t="inlineStr">
        <is>
          <t>Puf &amp; Bench</t>
        </is>
      </c>
      <c r="H103" s="28" t="inlineStr">
        <is>
          <t>Zem</t>
        </is>
      </c>
      <c r="I103" s="29" t="n">
        <v>997.0</v>
      </c>
      <c r="J103" s="30" t="n">
        <v>2999.9</v>
      </c>
      <c r="K103" s="31" t="n">
        <v>2974.9</v>
      </c>
      <c r="L103" s="32" t="n">
        <v>21.0</v>
      </c>
      <c r="M103" s="33" t="n">
        <v>2140.56</v>
      </c>
      <c r="N103" s="34" t="n">
        <v>4.0</v>
      </c>
      <c r="O103" s="35" t="n">
        <v>2974.9</v>
      </c>
      <c r="P103" s="36"/>
      <c r="Q103" s="37" t="n">
        <f>=IF(AND(P103&lt;&gt;"", M103&lt;&gt;"", P103&lt;=M103), N103, "-")</f>
        <v>0.0</v>
      </c>
      <c r="R103" s="38" t="str">
        <f>=IF(ISBLANK(P103), "", "Hayır")</f>
      </c>
      <c r="S103" s="39"/>
      <c r="T103" s="40" t="inlineStr">
        <is>
          <t>0ccce5da-14ad-4788-8cbf-ed98d2216bae</t>
        </is>
      </c>
    </row>
    <row r="104">
      <c r="A104" s="21" t="inlineStr">
        <is>
          <t>Petra Çay Seti, Kırık Beyaz (2 ADET TEKLİ BERJER 1 ADET IKİLİ BERJER)</t>
        </is>
      </c>
      <c r="B104" s="22" t="inlineStr">
        <is>
          <t>836482115</t>
        </is>
      </c>
      <c r="C104" s="23" t="inlineStr">
        <is>
          <t>198190755</t>
        </is>
      </c>
      <c r="D104" s="24" t="inlineStr">
        <is>
          <t>1ÇYSZEM00018</t>
        </is>
      </c>
      <c r="E104" s="25" t="inlineStr">
        <is>
          <t>Tek Ebat</t>
        </is>
      </c>
      <c r="F104" s="26" t="inlineStr">
        <is>
          <t>PETRA5</t>
        </is>
      </c>
      <c r="G104" s="27" t="inlineStr">
        <is>
          <t>Çay Seti Koltuk Takımı</t>
        </is>
      </c>
      <c r="H104" s="28" t="inlineStr">
        <is>
          <t>Zem</t>
        </is>
      </c>
      <c r="I104" s="29" t="n">
        <v>500.0</v>
      </c>
      <c r="J104" s="30" t="n">
        <v>25249.9</v>
      </c>
      <c r="K104" s="31" t="n">
        <v>25199.9</v>
      </c>
      <c r="L104" s="32" t="n">
        <v>20.0</v>
      </c>
      <c r="M104" s="33" t="n">
        <v>19294.44</v>
      </c>
      <c r="N104" s="34" t="n">
        <v>5.6</v>
      </c>
      <c r="O104" s="35" t="n">
        <v>25199.9</v>
      </c>
      <c r="P104" s="36"/>
      <c r="Q104" s="37" t="n">
        <f>=IF(AND(P104&lt;&gt;"", M104&lt;&gt;"", P104&lt;=M104), N104, "-")</f>
        <v>0.0</v>
      </c>
      <c r="R104" s="38" t="str">
        <f>=IF(ISBLANK(P104), "", "Hayır")</f>
      </c>
      <c r="S104" s="39"/>
      <c r="T104" s="40" t="inlineStr">
        <is>
          <t>0ccce5da-14ad-4788-8cbf-ed98d2216bae</t>
        </is>
      </c>
    </row>
    <row r="105">
      <c r="A105" s="21" t="inlineStr">
        <is>
          <t>Pavia Çay Seti Natürel Ahşap, Sütlü Kahve (1 ADET IKİLİ BERJER 1 ADET TEKLİ BERJER)</t>
        </is>
      </c>
      <c r="B105" s="22" t="inlineStr">
        <is>
          <t>834669296</t>
        </is>
      </c>
      <c r="C105" s="23" t="inlineStr">
        <is>
          <t>4509190732</t>
        </is>
      </c>
      <c r="D105" s="24" t="inlineStr">
        <is>
          <t>1ÇYSZEM00030</t>
        </is>
      </c>
      <c r="E105" s="25" t="inlineStr">
        <is>
          <t>Tek Ebat</t>
        </is>
      </c>
      <c r="F105" s="26" t="inlineStr">
        <is>
          <t>ZEMPVST5</t>
        </is>
      </c>
      <c r="G105" s="27" t="inlineStr">
        <is>
          <t>Çay Seti Koltuk Takımı</t>
        </is>
      </c>
      <c r="H105" s="28" t="inlineStr">
        <is>
          <t>Zem</t>
        </is>
      </c>
      <c r="I105" s="29" t="n">
        <v>493.0</v>
      </c>
      <c r="J105" s="30" t="n">
        <v>15099.9</v>
      </c>
      <c r="K105" s="31" t="n">
        <v>15049.9</v>
      </c>
      <c r="L105" s="32" t="n">
        <v>20.0</v>
      </c>
      <c r="M105" s="33" t="n">
        <v>11488.87</v>
      </c>
      <c r="N105" s="34" t="n">
        <v>5.5</v>
      </c>
      <c r="O105" s="35" t="n">
        <v>15049.9</v>
      </c>
      <c r="P105" s="36"/>
      <c r="Q105" s="37" t="n">
        <f>=IF(AND(P105&lt;&gt;"", M105&lt;&gt;"", P105&lt;=M105), N105, "-")</f>
        <v>0.0</v>
      </c>
      <c r="R105" s="38" t="str">
        <f>=IF(ISBLANK(P105), "", "Hayır")</f>
      </c>
      <c r="S105" s="39"/>
      <c r="T105" s="40" t="inlineStr">
        <is>
          <t>0ccce5da-14ad-4788-8cbf-ed98d2216bae</t>
        </is>
      </c>
    </row>
    <row r="106">
      <c r="A106" s="21" t="inlineStr">
        <is>
          <t>Petra Berjer, Kırık Beyaz</t>
        </is>
      </c>
      <c r="B106" s="22" t="inlineStr">
        <is>
          <t>810748147</t>
        </is>
      </c>
      <c r="C106" s="23" t="inlineStr">
        <is>
          <t>4520051907</t>
        </is>
      </c>
      <c r="D106" s="24" t="inlineStr">
        <is>
          <t>1BRJZEM00096</t>
        </is>
      </c>
      <c r="E106" s="25" t="inlineStr">
        <is>
          <t>Tek Ebat</t>
        </is>
      </c>
      <c r="F106" s="26" t="inlineStr">
        <is>
          <t>ZEMPTR</t>
        </is>
      </c>
      <c r="G106" s="27" t="inlineStr">
        <is>
          <t>Berjer</t>
        </is>
      </c>
      <c r="H106" s="28" t="inlineStr">
        <is>
          <t>Zem</t>
        </is>
      </c>
      <c r="I106" s="29" t="n">
        <v>500.0</v>
      </c>
      <c r="J106" s="30" t="n">
        <v>7249.9</v>
      </c>
      <c r="K106" s="31" t="n">
        <v>7199.9</v>
      </c>
      <c r="L106" s="32" t="n">
        <v>21.0</v>
      </c>
      <c r="M106" s="33" t="n">
        <v>5408.74</v>
      </c>
      <c r="N106" s="34" t="n">
        <v>5.5</v>
      </c>
      <c r="O106" s="35" t="n">
        <v>7149.9</v>
      </c>
      <c r="P106" s="36"/>
      <c r="Q106" s="37" t="n">
        <f>=IF(AND(P106&lt;&gt;"", M106&lt;&gt;"", P106&lt;=M106), N106, "-")</f>
        <v>0.0</v>
      </c>
      <c r="R106" s="38" t="str">
        <f>=IF(ISBLANK(P106), "", "Hayır")</f>
      </c>
      <c r="S106" s="39"/>
      <c r="T106" s="40" t="inlineStr">
        <is>
          <t>0ccce5da-14ad-4788-8cbf-ed98d2216bae</t>
        </is>
      </c>
    </row>
    <row r="107">
      <c r="A107" s="21" t="inlineStr">
        <is>
          <t>Fine Black-silver Puf</t>
        </is>
      </c>
      <c r="B107" s="22" t="inlineStr">
        <is>
          <t>64722144</t>
        </is>
      </c>
      <c r="C107" s="23" t="inlineStr">
        <is>
          <t>ZEM21XC1212D</t>
        </is>
      </c>
      <c r="D107" s="24" t="inlineStr">
        <is>
          <t>1PUFZEM00023</t>
        </is>
      </c>
      <c r="E107" s="25" t="inlineStr">
        <is>
          <t>Tek Ebat</t>
        </is>
      </c>
      <c r="F107" s="26" t="inlineStr">
        <is>
          <t>ZEMLUNGEPUF01</t>
        </is>
      </c>
      <c r="G107" s="27" t="inlineStr">
        <is>
          <t>Puf &amp; Bench</t>
        </is>
      </c>
      <c r="H107" s="28" t="inlineStr">
        <is>
          <t>Zem</t>
        </is>
      </c>
      <c r="I107" s="29" t="n">
        <v>379.0</v>
      </c>
      <c r="J107" s="30" t="n">
        <v>2419.9</v>
      </c>
      <c r="K107" s="31" t="n">
        <v>2419.9</v>
      </c>
      <c r="L107" s="32" t="n">
        <v>21.0</v>
      </c>
      <c r="M107" s="33" t="n">
        <v>1704.44</v>
      </c>
      <c r="N107" s="34" t="n">
        <v>2.7</v>
      </c>
      <c r="O107" s="35" t="n">
        <v>2419.9</v>
      </c>
      <c r="P107" s="36"/>
      <c r="Q107" s="37" t="n">
        <f>=IF(AND(P107&lt;&gt;"", M107&lt;&gt;"", P107&lt;=M107), N107, "-")</f>
        <v>0.0</v>
      </c>
      <c r="R107" s="38" t="str">
        <f>=IF(ISBLANK(P107), "", "Hayır")</f>
      </c>
      <c r="S107" s="39"/>
      <c r="T107" s="40" t="inlineStr">
        <is>
          <t>0ccce5da-14ad-4788-8cbf-ed98d2216bae</t>
        </is>
      </c>
    </row>
    <row r="108">
      <c r="A108" s="21" t="inlineStr">
        <is>
          <t>Fine Black-gold Puf</t>
        </is>
      </c>
      <c r="B108" s="22" t="inlineStr">
        <is>
          <t>55451105</t>
        </is>
      </c>
      <c r="C108" s="23" t="inlineStr">
        <is>
          <t>8693ZEMLUNGE</t>
        </is>
      </c>
      <c r="D108" s="24" t="inlineStr">
        <is>
          <t>1PUFZEM00010</t>
        </is>
      </c>
      <c r="E108" s="25" t="inlineStr">
        <is>
          <t>Tek Ebat</t>
        </is>
      </c>
      <c r="F108" s="26" t="inlineStr">
        <is>
          <t>ZEMLUNGEPUF01</t>
        </is>
      </c>
      <c r="G108" s="27" t="inlineStr">
        <is>
          <t>Puf &amp; Bench</t>
        </is>
      </c>
      <c r="H108" s="28" t="inlineStr">
        <is>
          <t>Zem</t>
        </is>
      </c>
      <c r="I108" s="29" t="n">
        <v>4885.0</v>
      </c>
      <c r="J108" s="30" t="n">
        <v>2419.9</v>
      </c>
      <c r="K108" s="31" t="n">
        <v>2419.9</v>
      </c>
      <c r="L108" s="32" t="n">
        <v>21.0</v>
      </c>
      <c r="M108" s="33" t="n">
        <v>1707.05</v>
      </c>
      <c r="N108" s="34" t="n">
        <v>2.7</v>
      </c>
      <c r="O108" s="35" t="n">
        <v>2419.9</v>
      </c>
      <c r="P108" s="36"/>
      <c r="Q108" s="37" t="n">
        <f>=IF(AND(P108&lt;&gt;"", M108&lt;&gt;"", P108&lt;=M108), N108, "-")</f>
        <v>0.0</v>
      </c>
      <c r="R108" s="38" t="str">
        <f>=IF(ISBLANK(P108), "", "Hayır")</f>
      </c>
      <c r="S108" s="39"/>
      <c r="T108" s="40" t="inlineStr">
        <is>
          <t>0ccce5da-14ad-4788-8cbf-ed98d2216bae</t>
        </is>
      </c>
    </row>
    <row r="109">
      <c r="A109" s="21" t="inlineStr">
        <is>
          <t>İriva Sandıklı Mekanizmalı Orta Sehpa/Bench, Kırık Beyaz</t>
        </is>
      </c>
      <c r="B109" s="22" t="inlineStr">
        <is>
          <t>1096268451</t>
        </is>
      </c>
      <c r="C109" s="23" t="inlineStr">
        <is>
          <t>45190775235</t>
        </is>
      </c>
      <c r="D109" s="24" t="inlineStr">
        <is>
          <t>1PUFZEM00653</t>
        </is>
      </c>
      <c r="E109" s="25" t="inlineStr">
        <is>
          <t>Tek Ebat</t>
        </is>
      </c>
      <c r="F109" s="26" t="inlineStr">
        <is>
          <t>ZEMIRVA</t>
        </is>
      </c>
      <c r="G109" s="27" t="inlineStr">
        <is>
          <t>Orta Sehpa</t>
        </is>
      </c>
      <c r="H109" s="28" t="inlineStr">
        <is>
          <t>Zem</t>
        </is>
      </c>
      <c r="I109" s="29" t="n">
        <v>500.0</v>
      </c>
      <c r="J109" s="30" t="n">
        <v>5990.0</v>
      </c>
      <c r="K109" s="31" t="n">
        <v>5940.0</v>
      </c>
      <c r="L109" s="32" t="n">
        <v>21.0</v>
      </c>
      <c r="M109" s="33" t="n">
        <v>3454.9</v>
      </c>
      <c r="N109" s="34" t="n">
        <v>2.7</v>
      </c>
      <c r="O109" s="35" t="n">
        <v>5940.0</v>
      </c>
      <c r="P109" s="36"/>
      <c r="Q109" s="37" t="n">
        <f>=IF(AND(P109&lt;&gt;"", M109&lt;&gt;"", P109&lt;=M109), N109, "-")</f>
        <v>0.0</v>
      </c>
      <c r="R109" s="38" t="str">
        <f>=IF(ISBLANK(P109), "", "Hayır")</f>
      </c>
      <c r="S109" s="39"/>
      <c r="T109" s="40" t="inlineStr">
        <is>
          <t>0ccce5da-14ad-4788-8cbf-ed98d2216bae</t>
        </is>
      </c>
    </row>
    <row r="110">
      <c r="A110" s="21" t="inlineStr">
        <is>
          <t>İriva Sandıklı Mekanizmalı Orta Sehpa/Bench, Taba</t>
        </is>
      </c>
      <c r="B110" s="22" t="inlineStr">
        <is>
          <t>1096268447</t>
        </is>
      </c>
      <c r="C110" s="23" t="inlineStr">
        <is>
          <t>19070014509</t>
        </is>
      </c>
      <c r="D110" s="24" t="inlineStr">
        <is>
          <t>1PUFZEM00654</t>
        </is>
      </c>
      <c r="E110" s="25" t="inlineStr">
        <is>
          <t>Tek Ebat</t>
        </is>
      </c>
      <c r="F110" s="26" t="inlineStr">
        <is>
          <t>ZEMIRVA</t>
        </is>
      </c>
      <c r="G110" s="27" t="inlineStr">
        <is>
          <t>Orta Sehpa</t>
        </is>
      </c>
      <c r="H110" s="28" t="inlineStr">
        <is>
          <t>Zem</t>
        </is>
      </c>
      <c r="I110" s="29" t="n">
        <v>499.0</v>
      </c>
      <c r="J110" s="30" t="n">
        <v>6490.0</v>
      </c>
      <c r="K110" s="31" t="n">
        <v>6440.0</v>
      </c>
      <c r="L110" s="32" t="n">
        <v>21.0</v>
      </c>
      <c r="M110" s="33" t="n">
        <v>3795.89</v>
      </c>
      <c r="N110" s="34" t="n">
        <v>2.7</v>
      </c>
      <c r="O110" s="35" t="n">
        <v>6440.0</v>
      </c>
      <c r="P110" s="36"/>
      <c r="Q110" s="37" t="n">
        <f>=IF(AND(P110&lt;&gt;"", M110&lt;&gt;"", P110&lt;=M110), N110, "-")</f>
        <v>0.0</v>
      </c>
      <c r="R110" s="38" t="str">
        <f>=IF(ISBLANK(P110), "", "Hayır")</f>
      </c>
      <c r="S110" s="39"/>
      <c r="T110" s="40" t="inlineStr">
        <is>
          <t>0ccce5da-14ad-4788-8cbf-ed98d2216bae</t>
        </is>
      </c>
    </row>
    <row r="111">
      <c r="A111" s="21" t="inlineStr">
        <is>
          <t>Favela Bohem Çay Seti Natürel Ahşap, Gri (1 ADET İKİLİ BERJER 2 ADET TEKLİ BERJER)</t>
        </is>
      </c>
      <c r="B111" s="22" t="inlineStr">
        <is>
          <t>941662746</t>
        </is>
      </c>
      <c r="C111" s="23" t="inlineStr">
        <is>
          <t>19074535299</t>
        </is>
      </c>
      <c r="D111" s="24" t="inlineStr">
        <is>
          <t>1ÇYSZEM00126</t>
        </is>
      </c>
      <c r="E111" s="25" t="inlineStr">
        <is>
          <t>Tek Ebat</t>
        </is>
      </c>
      <c r="F111" s="26" t="inlineStr">
        <is>
          <t>ZEMFVNST7</t>
        </is>
      </c>
      <c r="G111" s="27" t="inlineStr">
        <is>
          <t>Çay Seti Koltuk Takımı</t>
        </is>
      </c>
      <c r="H111" s="28" t="inlineStr">
        <is>
          <t>Zem</t>
        </is>
      </c>
      <c r="I111" s="29" t="n">
        <v>498.0</v>
      </c>
      <c r="J111" s="30" t="n">
        <v>23499.9</v>
      </c>
      <c r="K111" s="31" t="n">
        <v>23449.9</v>
      </c>
      <c r="L111" s="32" t="n">
        <v>20.0</v>
      </c>
      <c r="M111" s="33" t="n">
        <v>18430.06</v>
      </c>
      <c r="N111" s="34" t="n">
        <v>6.1</v>
      </c>
      <c r="O111" s="35" t="n">
        <v>23449.9</v>
      </c>
      <c r="P111" s="36"/>
      <c r="Q111" s="37" t="n">
        <f>=IF(AND(P111&lt;&gt;"", M111&lt;&gt;"", P111&lt;=M111), N111, "-")</f>
        <v>0.0</v>
      </c>
      <c r="R111" s="38" t="str">
        <f>=IF(ISBLANK(P111), "", "Hayır")</f>
      </c>
      <c r="S111" s="39"/>
      <c r="T111" s="40" t="inlineStr">
        <is>
          <t>0ccce5da-14ad-4788-8cbf-ed98d2216bae</t>
        </is>
      </c>
    </row>
    <row r="112">
      <c r="A112" s="21" t="inlineStr">
        <is>
          <t>Bahama Bohem Ahşap Berjer, Siyah Kazayağı Desenli</t>
        </is>
      </c>
      <c r="B112" s="22" t="inlineStr">
        <is>
          <t>917205427</t>
        </is>
      </c>
      <c r="C112" s="23" t="inlineStr">
        <is>
          <t>1907200512</t>
        </is>
      </c>
      <c r="D112" s="24" t="inlineStr">
        <is>
          <t>1BRJZEM00193</t>
        </is>
      </c>
      <c r="E112" s="25" t="inlineStr">
        <is>
          <t>Tek Ebat</t>
        </is>
      </c>
      <c r="F112" s="26" t="inlineStr">
        <is>
          <t>ZEMBHM</t>
        </is>
      </c>
      <c r="G112" s="27" t="inlineStr">
        <is>
          <t>Berjer</t>
        </is>
      </c>
      <c r="H112" s="28" t="inlineStr">
        <is>
          <t>Zem</t>
        </is>
      </c>
      <c r="I112" s="29" t="n">
        <v>500.0</v>
      </c>
      <c r="J112" s="30" t="n">
        <v>6099.9</v>
      </c>
      <c r="K112" s="31" t="n">
        <v>6049.9</v>
      </c>
      <c r="L112" s="32" t="n">
        <v>21.0</v>
      </c>
      <c r="M112" s="33" t="n">
        <v>4703.75</v>
      </c>
      <c r="N112" s="34" t="n">
        <v>6.6</v>
      </c>
      <c r="O112" s="35" t="n">
        <v>5999.9</v>
      </c>
      <c r="P112" s="36"/>
      <c r="Q112" s="37" t="n">
        <f>=IF(AND(P112&lt;&gt;"", M112&lt;&gt;"", P112&lt;=M112), N112, "-")</f>
        <v>0.0</v>
      </c>
      <c r="R112" s="38" t="str">
        <f>=IF(ISBLANK(P112), "", "Hayır")</f>
      </c>
      <c r="S112" s="39"/>
      <c r="T112" s="40" t="inlineStr">
        <is>
          <t>0ccce5da-14ad-4788-8cbf-ed98d2216bae</t>
        </is>
      </c>
    </row>
  </sheetData>
  <dataValidations count="1">
    <dataValidation type="list" sqref="R2:R112" allowBlank="true" errorStyle="stop">
      <formula1>"Evet,Hayır"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2026-03-05T00:14:19Z</dcterms:created>
  <dc:creator>Apache POI</dc:creator>
</cp:coreProperties>
</file>