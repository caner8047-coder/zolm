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8180" windowHeight="4620" activeTab="1"/>
  </bookViews>
  <sheets>
    <sheet name="stok kartları" sheetId="7" r:id="rId1"/>
    <sheet name="formüller" sheetId="6" r:id="rId2"/>
    <sheet name="larissa puf reçete" sheetId="5" state="hidden" r:id="rId3"/>
    <sheet name="Sayfa1" sheetId="1" state="hidden" r:id="rId4"/>
    <sheet name="Sayfa2" sheetId="2" state="hidden" r:id="rId5"/>
    <sheet name="LARİSSA PUF ürün ağacı" sheetId="3" state="hidden" r:id="rId6"/>
  </sheets>
  <calcPr calcId="124519"/>
</workbook>
</file>

<file path=xl/calcChain.xml><?xml version="1.0" encoding="utf-8"?>
<calcChain xmlns="http://schemas.openxmlformats.org/spreadsheetml/2006/main">
  <c r="K6" i="6"/>
  <c r="K2"/>
  <c r="K18"/>
  <c r="K7"/>
  <c r="D7" s="1"/>
  <c r="K3"/>
  <c r="K4"/>
  <c r="K24"/>
  <c r="D24" s="1"/>
  <c r="K20"/>
  <c r="D20" s="1"/>
  <c r="K19"/>
  <c r="D18"/>
  <c r="K17"/>
  <c r="K16"/>
  <c r="D16" s="1"/>
  <c r="K13"/>
  <c r="D13" s="1"/>
  <c r="K12"/>
  <c r="K11"/>
  <c r="D11" s="1"/>
  <c r="K10"/>
  <c r="K5"/>
  <c r="D5" s="1"/>
  <c r="D2"/>
  <c r="D4" i="3"/>
  <c r="K4"/>
  <c r="K34"/>
  <c r="D34" s="1"/>
  <c r="K9"/>
  <c r="D9" s="1"/>
  <c r="K23"/>
  <c r="K24"/>
  <c r="K25"/>
  <c r="K26"/>
  <c r="K27"/>
  <c r="K28"/>
  <c r="K29"/>
  <c r="K30"/>
  <c r="D30" s="1"/>
  <c r="K22"/>
  <c r="D22" s="1"/>
  <c r="K17"/>
  <c r="D17" s="1"/>
  <c r="K18"/>
  <c r="K16"/>
  <c r="K19"/>
  <c r="K14"/>
  <c r="K15"/>
  <c r="K13"/>
  <c r="K3"/>
  <c r="K2"/>
  <c r="D26"/>
  <c r="K8"/>
  <c r="K7"/>
  <c r="K6"/>
  <c r="K5"/>
  <c r="J2" i="2"/>
  <c r="J3"/>
  <c r="J4"/>
  <c r="J5"/>
  <c r="J6"/>
  <c r="J7"/>
  <c r="J8"/>
  <c r="J9"/>
  <c r="J10"/>
  <c r="J11"/>
  <c r="J12"/>
  <c r="K12" s="1"/>
  <c r="L12" s="1"/>
  <c r="J13"/>
  <c r="K13" s="1"/>
  <c r="L13" s="1"/>
  <c r="J14"/>
  <c r="K14" s="1"/>
  <c r="L14" s="1"/>
  <c r="J15"/>
  <c r="K15" s="1"/>
  <c r="L15" s="1"/>
  <c r="J16"/>
  <c r="J17"/>
  <c r="J18"/>
  <c r="K17" s="1"/>
  <c r="L17" s="1"/>
  <c r="J19"/>
  <c r="J20"/>
  <c r="J21"/>
  <c r="J22"/>
  <c r="K21"/>
  <c r="L21" s="1"/>
  <c r="J30"/>
  <c r="K30" s="1"/>
  <c r="L30" s="1"/>
  <c r="J31"/>
  <c r="J32"/>
  <c r="J27"/>
  <c r="J28"/>
  <c r="K28" s="1"/>
  <c r="L28" s="1"/>
  <c r="J29"/>
  <c r="K26"/>
  <c r="L26" s="1"/>
  <c r="J26"/>
  <c r="J43"/>
  <c r="K43" s="1"/>
  <c r="J42"/>
  <c r="J41"/>
  <c r="J40"/>
  <c r="K39"/>
  <c r="J39"/>
  <c r="J38"/>
  <c r="J37"/>
  <c r="J36"/>
  <c r="J35"/>
  <c r="K35" s="1"/>
  <c r="J23"/>
  <c r="K23" s="1"/>
  <c r="L23" s="1"/>
  <c r="K22"/>
  <c r="L22" s="1"/>
  <c r="K20"/>
  <c r="L20" s="1"/>
  <c r="D17" i="6" l="1"/>
  <c r="D4"/>
  <c r="D10"/>
  <c r="D12"/>
  <c r="D19"/>
  <c r="D3"/>
  <c r="D13" i="3"/>
  <c r="D27"/>
  <c r="D2"/>
  <c r="D19"/>
  <c r="D23"/>
  <c r="D6"/>
  <c r="D16"/>
  <c r="K36" i="2"/>
  <c r="K40"/>
  <c r="K2"/>
  <c r="L2" s="1"/>
</calcChain>
</file>

<file path=xl/sharedStrings.xml><?xml version="1.0" encoding="utf-8"?>
<sst xmlns="http://schemas.openxmlformats.org/spreadsheetml/2006/main" count="1780" uniqueCount="1418">
  <si>
    <t>MİKTAR</t>
  </si>
  <si>
    <t>DEMİRHANE</t>
  </si>
  <si>
    <t>MARANGOZHANE</t>
  </si>
  <si>
    <t>TERZİHANE</t>
  </si>
  <si>
    <t>DÖŞEME</t>
  </si>
  <si>
    <t>PAKETLEME</t>
  </si>
  <si>
    <t>KUMAŞ</t>
  </si>
  <si>
    <t>HMKMŞDGR0008</t>
  </si>
  <si>
    <t>HM KUMAŞ DİĞER BİLGE BABYFACE(3.15 $)</t>
  </si>
  <si>
    <t>HKMŞDGR00025</t>
  </si>
  <si>
    <t>HM KUMAŞ DİĞER YILMAZ MARS ROYAL NAPOLİ V01 ZİNCİR</t>
  </si>
  <si>
    <t>HKMŞDGR00021</t>
  </si>
  <si>
    <t>HM KUMAŞ DİĞER BELETTE PELUŞ</t>
  </si>
  <si>
    <t>HMKMŞDGR0005</t>
  </si>
  <si>
    <t>HM KUMAŞ DİĞER AYNALI DERİ ALTIN-GÜMÜŞ(EKONOMİK)</t>
  </si>
  <si>
    <t>HKMŞDRY00001</t>
  </si>
  <si>
    <t>HM TELA DİĞER 60GR 160CM BEYAZ-SİYAH</t>
  </si>
  <si>
    <t>HKMŞDGR00024</t>
  </si>
  <si>
    <t>HM TELA DİĞER 30GR 160CM BEYAZ</t>
  </si>
  <si>
    <t>HKMŞDGR00032</t>
  </si>
  <si>
    <t>HM TELA DİĞER 14GR 160CM BEYAZ</t>
  </si>
  <si>
    <t>HKMŞASU00003</t>
  </si>
  <si>
    <t>HM ASTAR DİĞER BEZASTAR-POLYESTER 60CM</t>
  </si>
  <si>
    <t>HKMŞASU00002</t>
  </si>
  <si>
    <t>HM ASTAR DİĞER ARA BEZİ 50CM</t>
  </si>
  <si>
    <t>HSNRDGR00002</t>
  </si>
  <si>
    <t>HM ELYAF DİĞER-VATKA 90GR  215CM EN (KGI)</t>
  </si>
  <si>
    <t>AHŞAP</t>
  </si>
  <si>
    <t>HAHŞDGR00011</t>
  </si>
  <si>
    <t>HM PANEL DİĞER 18MM HAM SUNTA M2</t>
  </si>
  <si>
    <t>HAHŞGNÇ00001</t>
  </si>
  <si>
    <t>HM PANEL DİĞER 3MM DURALİT M2 (1 PLAKA=3.25METREKARE)</t>
  </si>
  <si>
    <t>HAHŞDGR00001</t>
  </si>
  <si>
    <t>HM AHŞAP DİĞER KAVAK KERESTE TAHTA M3</t>
  </si>
  <si>
    <t>HMİSKDGR0002</t>
  </si>
  <si>
    <t>YM İSKELET DİĞER KANEPE 180LİK</t>
  </si>
  <si>
    <t>SÜNGER</t>
  </si>
  <si>
    <t>HSNRSFŞ00003</t>
  </si>
  <si>
    <t>HM SÜNGER DİĞER 15 DANSTE M3</t>
  </si>
  <si>
    <t>HSNRDGR00017</t>
  </si>
  <si>
    <t>HM SÜNGER DİĞER 18 DANSTE M3</t>
  </si>
  <si>
    <t>HSNRSFŞ00002</t>
  </si>
  <si>
    <t>HM SÜNGER DİĞER 22 DANSTE M3</t>
  </si>
  <si>
    <t>HSNRSFŞ00004</t>
  </si>
  <si>
    <t>HM SÜNGER DİĞER 25 DANSTE KUŞTÜYÜ M3</t>
  </si>
  <si>
    <t>HSNRSFŞ00001</t>
  </si>
  <si>
    <t>HM SÜNGER DİĞER 28 DANSTE M3</t>
  </si>
  <si>
    <t>HSNRDGR00001</t>
  </si>
  <si>
    <t>HM SÜNGER DİĞER KIRPINTI KG</t>
  </si>
  <si>
    <t>ZIMBA-VİDA</t>
  </si>
  <si>
    <t>HHRDDGR00036</t>
  </si>
  <si>
    <t>HM ZIMBA TELİ DİĞER 92x40 (630 ADET)</t>
  </si>
  <si>
    <t>HHRDDGR00131</t>
  </si>
  <si>
    <t>HM ZIMBA TELİ DİĞER 80x14 (3000 ADET)</t>
  </si>
  <si>
    <t>HHRDDGR00062</t>
  </si>
  <si>
    <t>HM VİDA DİĞER-AHŞAP 5x50 (1 PAKET=200 ADET)</t>
  </si>
  <si>
    <t>HMKZDGR00006</t>
  </si>
  <si>
    <t>HM MEKANİZMA DİĞER-KOLTUK 3 KADEMELİ SIRT TERS MAKAS MK46</t>
  </si>
  <si>
    <t>HHRDDGR00002</t>
  </si>
  <si>
    <t>HM KANEPE MALZEME DİĞER ELASTİK KOLON 5CM 3 ÇİPELİ(METRE)</t>
  </si>
  <si>
    <t>HMKNMDGR0002</t>
  </si>
  <si>
    <t>HM KANEPE MALZEME DİĞER ÜÇGEN KÖŞE KORUYUCU</t>
  </si>
  <si>
    <t>HHRDDGR00150</t>
  </si>
  <si>
    <t>HM DEMİR DİĞER ASUA LAZER KESİM AYAK BAĞLANTI SACI KARE N:2</t>
  </si>
  <si>
    <t>HAKSDGR00016</t>
  </si>
  <si>
    <t>HM İPLİK DİĞER 50 NUMARA (3000M)</t>
  </si>
  <si>
    <t>HAKSDGR00017</t>
  </si>
  <si>
    <t>HM İPLİK DİĞER 15 NUMARA (1250M)</t>
  </si>
  <si>
    <t>HHRDDGR00122</t>
  </si>
  <si>
    <t>HM ETİKET DİĞER-MARKA DOKUMA LOGOLU</t>
  </si>
  <si>
    <t>HETKDGR00001</t>
  </si>
  <si>
    <t>HM ETİKET DİĞER-MARKA DÖKÜM LOGOLU</t>
  </si>
  <si>
    <t>HHRDDGR00039</t>
  </si>
  <si>
    <t>HM KANEPE MALZEME DİĞER KAYTAN NO:20 SÜPER (40MT)</t>
  </si>
  <si>
    <t>HHRDBRK00011</t>
  </si>
  <si>
    <t>HM YAPIŞTIRICI DİĞER SÜNGER YAPIŞTIRICI ŞEFFAF (1 TNK=15KG)</t>
  </si>
  <si>
    <t>HHRDBRK00005</t>
  </si>
  <si>
    <t>HM KANEPE MALZEME DİĞER FERMUAR PLASTİK</t>
  </si>
  <si>
    <t>HHRDBRK00006</t>
  </si>
  <si>
    <t>HM KANEPE MALZEME DİĞER FERMUAR KÜRSÖRÜ/ELCİK</t>
  </si>
  <si>
    <t>AMBALAJ</t>
  </si>
  <si>
    <t>HHRDDGR00137</t>
  </si>
  <si>
    <t>HM AMBALAJ DİĞER BALONLU-HAVALI NAYLON 2. KALİTE</t>
  </si>
  <si>
    <t>HDGRDGR00016</t>
  </si>
  <si>
    <t>HM AMBALAJ DİĞER STREÇ FİLM 17 MICRON 50 CM 300 METRE</t>
  </si>
  <si>
    <t>HHRDSLL00003</t>
  </si>
  <si>
    <t>HM AMBALAJ  KOLİ BANDI 45CMx100METRE</t>
  </si>
  <si>
    <t>HHRDDGR00103</t>
  </si>
  <si>
    <t>HM CİVATA DİĞER M8x120 SAPLAMA(30 KG=835 ADET)</t>
  </si>
  <si>
    <t>HHRDSLL00004</t>
  </si>
  <si>
    <t>HM SOMUN DİĞER M8 PLASTİK KELEBEK</t>
  </si>
  <si>
    <t>HAYADGR00038</t>
  </si>
  <si>
    <t>HM AYAK DİĞER PLASTİK-GİZLİ AYARLI 16x22 M/8</t>
  </si>
  <si>
    <t>HAMBKRB00001</t>
  </si>
  <si>
    <t>HM AMBALAJ DİĞER 18x18 KARTON-KANEPE KORUMA-LOGOLU</t>
  </si>
  <si>
    <t>DİDGRDGR0002</t>
  </si>
  <si>
    <t>HM NAKLİYE ÜCRETİ</t>
  </si>
  <si>
    <t>HİŞÇDGR00004</t>
  </si>
  <si>
    <t>HM İŞÇİLİK DİĞER</t>
  </si>
  <si>
    <t xml:space="preserve">şablon </t>
  </si>
  <si>
    <t>KULLANILAN YER</t>
  </si>
  <si>
    <t>en</t>
  </si>
  <si>
    <t>boy</t>
  </si>
  <si>
    <t>yükseklik</t>
  </si>
  <si>
    <t>adet</t>
  </si>
  <si>
    <t>m/m2/m3</t>
  </si>
  <si>
    <t>toplam</t>
  </si>
  <si>
    <t>%fire</t>
  </si>
  <si>
    <t>fire oranı</t>
  </si>
  <si>
    <t>6.70metre</t>
  </si>
  <si>
    <t>oturum</t>
  </si>
  <si>
    <t>oturum faça</t>
  </si>
  <si>
    <t>sırt kapitone</t>
  </si>
  <si>
    <t>sırt faça</t>
  </si>
  <si>
    <t>kol klapa</t>
  </si>
  <si>
    <t>kollar</t>
  </si>
  <si>
    <t>kol kapitone</t>
  </si>
  <si>
    <t>dış arka</t>
  </si>
  <si>
    <t>kırlent</t>
  </si>
  <si>
    <t>kulak</t>
  </si>
  <si>
    <t>kırlent baskılı</t>
  </si>
  <si>
    <t>kırlent peluş</t>
  </si>
  <si>
    <t>kol fitil</t>
  </si>
  <si>
    <t>alt astar</t>
  </si>
  <si>
    <t>kol alt astar</t>
  </si>
  <si>
    <t>yastık</t>
  </si>
  <si>
    <t>kollara kumaş geçirme</t>
  </si>
  <si>
    <t>HM ASTAR DİĞER BEZASTAR-PAMUKLU 60CM</t>
  </si>
  <si>
    <t>HHRDASU00001</t>
  </si>
  <si>
    <t>HM ASTAR DİĞER BEZASTAR-ARABEZİ PAMUKLU 50CM</t>
  </si>
  <si>
    <t>ara çektirme-sırt</t>
  </si>
  <si>
    <t>HM ELYAF DİĞER-VATKA 90GR  200CM EN (KGI) 60METRE</t>
  </si>
  <si>
    <t>0.18kg</t>
  </si>
  <si>
    <t>sünger üstü</t>
  </si>
  <si>
    <t>kol</t>
  </si>
  <si>
    <t>gövde</t>
  </si>
  <si>
    <t>kol kaplama</t>
  </si>
  <si>
    <t>kol yanlar</t>
  </si>
  <si>
    <t>kol üstü</t>
  </si>
  <si>
    <t>sırt gövde</t>
  </si>
  <si>
    <t>oturum kaplama</t>
  </si>
  <si>
    <t>sırt kaplama</t>
  </si>
  <si>
    <t>"</t>
  </si>
  <si>
    <t>Stok Kodu</t>
  </si>
  <si>
    <t>HHRDTKP00001</t>
  </si>
  <si>
    <t>HAKSDGR00006</t>
  </si>
  <si>
    <t>HHRDDGR00001</t>
  </si>
  <si>
    <t>HAKSDGR00010</t>
  </si>
  <si>
    <t>HAKSDGR00011</t>
  </si>
  <si>
    <t>HAKSDGR00012</t>
  </si>
  <si>
    <t>HAYADGR00004</t>
  </si>
  <si>
    <t>HAYADGR00010</t>
  </si>
  <si>
    <t>HAYADGR00025</t>
  </si>
  <si>
    <t>HAYADGR00024</t>
  </si>
  <si>
    <t>HHRDDGR00099</t>
  </si>
  <si>
    <t>HDGRDGR00008</t>
  </si>
  <si>
    <t>HDGRDGR00009</t>
  </si>
  <si>
    <t>HDGRDGR00005</t>
  </si>
  <si>
    <t>HHRDBRK00002</t>
  </si>
  <si>
    <t>HHRDBRK00012</t>
  </si>
  <si>
    <t>HHRDDGR00094</t>
  </si>
  <si>
    <t>HHRDDGR00095</t>
  </si>
  <si>
    <t>HHRDDGR00059</t>
  </si>
  <si>
    <t>HHRDDGR00077</t>
  </si>
  <si>
    <t>HHRDDGR00120</t>
  </si>
  <si>
    <t>HHRDDGR00076</t>
  </si>
  <si>
    <t>HHRDDGR00116</t>
  </si>
  <si>
    <t>HHRDTKP00004</t>
  </si>
  <si>
    <t>HHRDDGR00088</t>
  </si>
  <si>
    <t>HHRDDGR00037</t>
  </si>
  <si>
    <t>HHRDDGR00083</t>
  </si>
  <si>
    <t>HDGRDGR00011</t>
  </si>
  <si>
    <t>HHRDDGR00066</t>
  </si>
  <si>
    <t>HHRDDGR00092</t>
  </si>
  <si>
    <t>HHRDDGR00100</t>
  </si>
  <si>
    <t>HHRDDGR00091</t>
  </si>
  <si>
    <t>HHRDDGR00093</t>
  </si>
  <si>
    <t>HHRDDGR00049</t>
  </si>
  <si>
    <t>HHRDDGR00044</t>
  </si>
  <si>
    <t>HHRDDGR00045</t>
  </si>
  <si>
    <t>HHRDDGR00043</t>
  </si>
  <si>
    <t>HHRDYMS00002</t>
  </si>
  <si>
    <t>HHRDYMS00001</t>
  </si>
  <si>
    <t>HHRDYLM00003</t>
  </si>
  <si>
    <t>HMKZDGR00003</t>
  </si>
  <si>
    <t>HPRFDGR00012</t>
  </si>
  <si>
    <t>HMKOLDGR0009</t>
  </si>
  <si>
    <t>HMAMBDGR0005</t>
  </si>
  <si>
    <t>HMAMBDGR0006</t>
  </si>
  <si>
    <t>HMKOLDGR0005</t>
  </si>
  <si>
    <t>HMAMBDGR0007</t>
  </si>
  <si>
    <t>HHRDDGR00129</t>
  </si>
  <si>
    <t>HHRDDGR00138</t>
  </si>
  <si>
    <t>HAMBDGR00007</t>
  </si>
  <si>
    <t>hAMBDGR00006</t>
  </si>
  <si>
    <t>HAMBDGR00005</t>
  </si>
  <si>
    <t>HAMBDGR00001</t>
  </si>
  <si>
    <t>HAMBKRB00002</t>
  </si>
  <si>
    <t>HAMBANK00005</t>
  </si>
  <si>
    <t>HAMBDGR00008</t>
  </si>
  <si>
    <t>HAMBAEK00001</t>
  </si>
  <si>
    <t>HAMBDGR00004</t>
  </si>
  <si>
    <t>HMAMBDGR0010</t>
  </si>
  <si>
    <t>HMAMBDGR0009</t>
  </si>
  <si>
    <t>HMAMBDGR0008</t>
  </si>
  <si>
    <t>HMAMBDGR0004</t>
  </si>
  <si>
    <t>HMAMBDGR0003</t>
  </si>
  <si>
    <t>HMAMBDGR0002</t>
  </si>
  <si>
    <t>HMAMBDGR0001</t>
  </si>
  <si>
    <t>HMATRDGR0001</t>
  </si>
  <si>
    <t>HHRDDGR00144</t>
  </si>
  <si>
    <t>HHRDASU00002</t>
  </si>
  <si>
    <t>HAYAAAY00007</t>
  </si>
  <si>
    <t>HM ATIL STOK KARTLARI</t>
  </si>
  <si>
    <t>HMAYADGR0015</t>
  </si>
  <si>
    <t>HMAYADGR0011</t>
  </si>
  <si>
    <t>HMAYADGR0017</t>
  </si>
  <si>
    <t>HMAYADGR0005</t>
  </si>
  <si>
    <t>HMAYADGR0006</t>
  </si>
  <si>
    <t>HMAYADGR0008</t>
  </si>
  <si>
    <t>HMAYADGR0009</t>
  </si>
  <si>
    <t>HAYAAAY00010</t>
  </si>
  <si>
    <t>HAYABRK00002</t>
  </si>
  <si>
    <t>HHRDBRK00001</t>
  </si>
  <si>
    <t>HAYAPLM00003</t>
  </si>
  <si>
    <t>HHRDDGR00118</t>
  </si>
  <si>
    <t>HAYADGR00027</t>
  </si>
  <si>
    <t>HAYADGR00035</t>
  </si>
  <si>
    <t>HAYADGR00028</t>
  </si>
  <si>
    <t>HAYADGR00039</t>
  </si>
  <si>
    <t>HAYADGR00037</t>
  </si>
  <si>
    <t>HAYADGR00036</t>
  </si>
  <si>
    <t>HDGRBRK00001</t>
  </si>
  <si>
    <t>HAYADGR00026</t>
  </si>
  <si>
    <t>HMAYADGR0001</t>
  </si>
  <si>
    <t>HMAYADGR0003</t>
  </si>
  <si>
    <t>HMAYADGR0002</t>
  </si>
  <si>
    <t>HAYADGR00018</t>
  </si>
  <si>
    <t>HAYADGR00016</t>
  </si>
  <si>
    <t>HAYADGR00017</t>
  </si>
  <si>
    <t>HAYADGR00003</t>
  </si>
  <si>
    <t>HAYADGR00002</t>
  </si>
  <si>
    <t>HAYADGR00009</t>
  </si>
  <si>
    <t>HAYADGR00013</t>
  </si>
  <si>
    <t>HAYADGR00034</t>
  </si>
  <si>
    <t>HMAYADGR0012</t>
  </si>
  <si>
    <t>HAYAAAY00001</t>
  </si>
  <si>
    <t>HHRDDGR00113</t>
  </si>
  <si>
    <t>HAYADGR00031</t>
  </si>
  <si>
    <t>HAYADGR00030</t>
  </si>
  <si>
    <t>HAYADGR00023</t>
  </si>
  <si>
    <t>HAYADGR00033</t>
  </si>
  <si>
    <t>HHRDDGR00149</t>
  </si>
  <si>
    <t>HAYADGR00032</t>
  </si>
  <si>
    <t>HAYADGR00029</t>
  </si>
  <si>
    <t>HMAYADGR0014</t>
  </si>
  <si>
    <t>HMAYADGR0016</t>
  </si>
  <si>
    <t>HMAYADGR0010</t>
  </si>
  <si>
    <t>HHRDDGR00124</t>
  </si>
  <si>
    <t>HMKZDGR00004</t>
  </si>
  <si>
    <t>HBOYDGR00001</t>
  </si>
  <si>
    <t>HAKSDGR00009</t>
  </si>
  <si>
    <t>HKLPDGR00003</t>
  </si>
  <si>
    <t>HMMKKLK00002</t>
  </si>
  <si>
    <t>HHRDYLM00004</t>
  </si>
  <si>
    <t>HBZMDGR00001</t>
  </si>
  <si>
    <t>HAKSDGR00007</t>
  </si>
  <si>
    <t>HHRDDGR00053</t>
  </si>
  <si>
    <t>HHRDDGR00054</t>
  </si>
  <si>
    <t>HMPRFDGR0002</t>
  </si>
  <si>
    <t>HMPRFDGR0003</t>
  </si>
  <si>
    <t>HMPRFDGR0001</t>
  </si>
  <si>
    <t>HMBYODGR0001</t>
  </si>
  <si>
    <t>HMBYODGR0002</t>
  </si>
  <si>
    <t>HMBYODGR0003</t>
  </si>
  <si>
    <t>HMBYODGR0004</t>
  </si>
  <si>
    <t>HHRDDGR00115</t>
  </si>
  <si>
    <t>HHRDDGR00098</t>
  </si>
  <si>
    <t>HMBYODGR0005</t>
  </si>
  <si>
    <t>HHRDDGR00110</t>
  </si>
  <si>
    <t>HMBYODGR0006</t>
  </si>
  <si>
    <t>HMBYODGR0007</t>
  </si>
  <si>
    <t>HHRDDGR00134</t>
  </si>
  <si>
    <t>HMBYODGR0008</t>
  </si>
  <si>
    <t>HHRDDGR00012</t>
  </si>
  <si>
    <t>HHRDDGR00119</t>
  </si>
  <si>
    <t>HMCVTDGR0002</t>
  </si>
  <si>
    <t>HMCVTDGR0001</t>
  </si>
  <si>
    <t>1CVTDGR00001</t>
  </si>
  <si>
    <t>HHRDDGR00102</t>
  </si>
  <si>
    <t>HHRDDGR00141</t>
  </si>
  <si>
    <t>HHRDDGR00078</t>
  </si>
  <si>
    <t>HHRDDGR00061</t>
  </si>
  <si>
    <t>HHRDDGR00017</t>
  </si>
  <si>
    <t>HHRDDGR00046</t>
  </si>
  <si>
    <t>HHRDDGR00060</t>
  </si>
  <si>
    <t>HDGRDGR00015</t>
  </si>
  <si>
    <t>HMDMRDGR0002</t>
  </si>
  <si>
    <t>HDMRDGR00001</t>
  </si>
  <si>
    <t>HMDMRDGR0003</t>
  </si>
  <si>
    <t>HMDMRDGR0001</t>
  </si>
  <si>
    <t>HHRDDGR00135</t>
  </si>
  <si>
    <t>HHRDDGR00084</t>
  </si>
  <si>
    <t>HHRDDGR00035</t>
  </si>
  <si>
    <t>HHRDDGR00047</t>
  </si>
  <si>
    <t>HMDGRDGR0001</t>
  </si>
  <si>
    <t>HAKSDGR00015</t>
  </si>
  <si>
    <t>HHRDDGR00006</t>
  </si>
  <si>
    <t>HHRDDGR00155</t>
  </si>
  <si>
    <t>HAKSDGR00021</t>
  </si>
  <si>
    <t>HHRDDGR00133</t>
  </si>
  <si>
    <t>HHRDDGR00075</t>
  </si>
  <si>
    <t>HHRDDGR00097</t>
  </si>
  <si>
    <t>HAKSDGR00013</t>
  </si>
  <si>
    <t>HHRDDGR00070</t>
  </si>
  <si>
    <t>HMEMTDGR0001</t>
  </si>
  <si>
    <t>HAKSDGR00023</t>
  </si>
  <si>
    <t>HHRDDGR00139</t>
  </si>
  <si>
    <t>HSNRDGR00009</t>
  </si>
  <si>
    <t>HAKSDGR00025</t>
  </si>
  <si>
    <t>HHRDDGR00057</t>
  </si>
  <si>
    <t>HHRDBRK00007</t>
  </si>
  <si>
    <t>HMKNMDGR0006</t>
  </si>
  <si>
    <t>HKNMDGR00002</t>
  </si>
  <si>
    <t>HKNMDGR00003</t>
  </si>
  <si>
    <t>HHRDBRK00003</t>
  </si>
  <si>
    <t>HHRDDGR00038</t>
  </si>
  <si>
    <t>HHRDDGR00114</t>
  </si>
  <si>
    <t>HMKNMDGR0001</t>
  </si>
  <si>
    <t>HHRDDGR00146</t>
  </si>
  <si>
    <t>HAKSDGR00004</t>
  </si>
  <si>
    <t>HAYAAAY00002</t>
  </si>
  <si>
    <t>HAKSDGR00003</t>
  </si>
  <si>
    <t>HHRDDGR00104</t>
  </si>
  <si>
    <t>HKPTDGR00001</t>
  </si>
  <si>
    <t>HMPNLDGR0003</t>
  </si>
  <si>
    <t>HMPNLDGR0002</t>
  </si>
  <si>
    <t>HMPNLDGR0001</t>
  </si>
  <si>
    <t>HMPRFDGR0008</t>
  </si>
  <si>
    <t>HPRFDPS00003</t>
  </si>
  <si>
    <t>HMPRFDGR0004</t>
  </si>
  <si>
    <t>HMPRFDGR0005</t>
  </si>
  <si>
    <t>HPRFDPS00004</t>
  </si>
  <si>
    <t>HPRFDPS00002</t>
  </si>
  <si>
    <t>HMPRFDGR0007</t>
  </si>
  <si>
    <t>HMPRFDGR0006</t>
  </si>
  <si>
    <t>HMMKZDGR0002</t>
  </si>
  <si>
    <t>HMMKZDGR0001</t>
  </si>
  <si>
    <t>HHRDDGR00052</t>
  </si>
  <si>
    <t>HHRDDGR00051</t>
  </si>
  <si>
    <t>HHRDDGR00050</t>
  </si>
  <si>
    <t>HHRDDGR00058</t>
  </si>
  <si>
    <t>HHRDYLM00002</t>
  </si>
  <si>
    <t>HHRDDGR00126</t>
  </si>
  <si>
    <t>HMKZDGR00008</t>
  </si>
  <si>
    <t>HMKZDGR00007</t>
  </si>
  <si>
    <t>HHRDDGR00071</t>
  </si>
  <si>
    <t>HMNKLDGR0001</t>
  </si>
  <si>
    <t>HHRDBRL00003</t>
  </si>
  <si>
    <t>HHRDBRL00004</t>
  </si>
  <si>
    <t>HDGRDGR00002</t>
  </si>
  <si>
    <t>HHRDDGR00013</t>
  </si>
  <si>
    <t>HHRDDGR00024</t>
  </si>
  <si>
    <t>HMSRFDGR0004</t>
  </si>
  <si>
    <t>HÇZGDGR00001</t>
  </si>
  <si>
    <t>HHRDDGR00090</t>
  </si>
  <si>
    <t>HHRDDGR00067</t>
  </si>
  <si>
    <t>HMSRFDGR0011</t>
  </si>
  <si>
    <t>HMSRFDGR0014</t>
  </si>
  <si>
    <t>HSRFDGR00001</t>
  </si>
  <si>
    <t>HHRDDGR00073</t>
  </si>
  <si>
    <t>HMSRFDGR0009</t>
  </si>
  <si>
    <t>HMSRFDGR0007</t>
  </si>
  <si>
    <t>HHRDDGR00030</t>
  </si>
  <si>
    <t>HDGRDGR00001</t>
  </si>
  <si>
    <t>HHRDDGR00068</t>
  </si>
  <si>
    <t>HHRDDGR00040</t>
  </si>
  <si>
    <t>HMSRFDGR0010</t>
  </si>
  <si>
    <t>HHRDDGR00153</t>
  </si>
  <si>
    <t>HMSRFDGR0002</t>
  </si>
  <si>
    <t>HMSRFDGR0001</t>
  </si>
  <si>
    <t>HMSRFDGR0012</t>
  </si>
  <si>
    <t>HMSRFDGR0019</t>
  </si>
  <si>
    <t>HMSRFDGR0013</t>
  </si>
  <si>
    <t>HHRDDGR00089</t>
  </si>
  <si>
    <t>HHRDDGR00111</t>
  </si>
  <si>
    <t>HMMKYLS00001</t>
  </si>
  <si>
    <t>HHRDDGR00033</t>
  </si>
  <si>
    <t>HHRDDGR00096</t>
  </si>
  <si>
    <t>HMSRFDGR0016</t>
  </si>
  <si>
    <t>HMSRFDGR0008</t>
  </si>
  <si>
    <t>HMSRFDGR0018</t>
  </si>
  <si>
    <t>HMSRFDGR0005</t>
  </si>
  <si>
    <t>HMSRFDGR0003</t>
  </si>
  <si>
    <t>HMSRFDGR0015</t>
  </si>
  <si>
    <t>HMSRFDGR0017</t>
  </si>
  <si>
    <t>HMSRFDGR0006</t>
  </si>
  <si>
    <t>HHRDDGR00109</t>
  </si>
  <si>
    <t>HHRDDGR00108</t>
  </si>
  <si>
    <t>HSNRDGR00014</t>
  </si>
  <si>
    <t>HHRDDGR00121</t>
  </si>
  <si>
    <t>HM SARF MALZEME GAZALTI KAYNAK TÜPÜ 25KG</t>
  </si>
  <si>
    <t>HDGRDGR00013</t>
  </si>
  <si>
    <t>HHRDDGR00014</t>
  </si>
  <si>
    <t>HMSOMDGR0001</t>
  </si>
  <si>
    <t>HHRDDGR00016</t>
  </si>
  <si>
    <t>HHRDDGR00023</t>
  </si>
  <si>
    <t>HHRDDGR00018</t>
  </si>
  <si>
    <t>HHRDDGR00140</t>
  </si>
  <si>
    <t>HHRDTKP00003</t>
  </si>
  <si>
    <t>HSNRDGR00019</t>
  </si>
  <si>
    <t>HSNRDGR00011</t>
  </si>
  <si>
    <t>HSNRDGR00005</t>
  </si>
  <si>
    <t>HSNRDGR00013</t>
  </si>
  <si>
    <t>HMSNRDGR0001</t>
  </si>
  <si>
    <t>HMVDADGR0004</t>
  </si>
  <si>
    <t>HMVDADGR0003</t>
  </si>
  <si>
    <t>HMVDADGR0005</t>
  </si>
  <si>
    <t>HVDADGR00001</t>
  </si>
  <si>
    <t>HMVDADGR0002</t>
  </si>
  <si>
    <t>HVDADGR00002</t>
  </si>
  <si>
    <t>HMVDADGR0001</t>
  </si>
  <si>
    <t>HHRDDGR00026</t>
  </si>
  <si>
    <t>HHRDDGR00027</t>
  </si>
  <si>
    <t>HHRDSLL00012</t>
  </si>
  <si>
    <t>HHRDDGR00151</t>
  </si>
  <si>
    <t>HHRDDGR00048</t>
  </si>
  <si>
    <t>HHRDDGR00064</t>
  </si>
  <si>
    <t>HHRDDGR00063</t>
  </si>
  <si>
    <t>HHRDDGR00011</t>
  </si>
  <si>
    <t>HHRDDGR00069</t>
  </si>
  <si>
    <t>HMYAYDGR0001</t>
  </si>
  <si>
    <t>HYAYDGR00004</t>
  </si>
  <si>
    <t>HYAYDGR00002</t>
  </si>
  <si>
    <t>HYAYDGR00003</t>
  </si>
  <si>
    <t>HYAYDGR00005</t>
  </si>
  <si>
    <t>HYAYDGR00001</t>
  </si>
  <si>
    <t>HYAYDGR00012</t>
  </si>
  <si>
    <t>HYAYDGR00007</t>
  </si>
  <si>
    <t>HYAYDGR00008</t>
  </si>
  <si>
    <t>HYAYDGR00006</t>
  </si>
  <si>
    <t>HYAYDGR00009</t>
  </si>
  <si>
    <t>HYAYDGR00010</t>
  </si>
  <si>
    <t>HHRDDGR00148</t>
  </si>
  <si>
    <t>HHRDDGR00025</t>
  </si>
  <si>
    <t>HDGRDGR00004</t>
  </si>
  <si>
    <t>HHRDDGR00147</t>
  </si>
  <si>
    <t>HHRDDGR00132</t>
  </si>
  <si>
    <t>HHRDYLM00001</t>
  </si>
  <si>
    <t>HHRDDGR00005</t>
  </si>
  <si>
    <t>HHRDDGR00130</t>
  </si>
  <si>
    <t>HMZMBDGR0001</t>
  </si>
  <si>
    <t>HMAYADGR0004</t>
  </si>
  <si>
    <t>HMKNMDGR0003</t>
  </si>
  <si>
    <t>HMKNMDGR0005</t>
  </si>
  <si>
    <t>HMKOLDGR0010</t>
  </si>
  <si>
    <t>HMKOLDGR0003</t>
  </si>
  <si>
    <t>HMKOLDGR0004</t>
  </si>
  <si>
    <t>HMKOLDGR0006</t>
  </si>
  <si>
    <t>HMKOLDGR0012</t>
  </si>
  <si>
    <t>HMKOLDGR0011</t>
  </si>
  <si>
    <t>HMKOLDGR0001</t>
  </si>
  <si>
    <t>HMKOLDGR0002</t>
  </si>
  <si>
    <t>HMKOLDGR0008</t>
  </si>
  <si>
    <t>HMKOLDGR0007</t>
  </si>
  <si>
    <t>HMKRLDGR0001</t>
  </si>
  <si>
    <t>HMKNMDGR0004</t>
  </si>
  <si>
    <t>HMAYADGR0013</t>
  </si>
  <si>
    <t>HMAYADGR0007</t>
  </si>
  <si>
    <t>Açİklama</t>
  </si>
  <si>
    <t>???HM HIRDAVAT BERRAK FORM PROFİLİ P009-080</t>
  </si>
  <si>
    <t>???HM MEKANİZMA SIRT MEKANİZMASI ÇİFT AÇILIR KISA(İKON TK)</t>
  </si>
  <si>
    <t>HM AMBALAJ KOLİ BANDI 45CMx100METRE</t>
  </si>
  <si>
    <t>HİSKDGR00006</t>
  </si>
  <si>
    <t>HİSKDGR00008</t>
  </si>
  <si>
    <t>HİSKDGR00007</t>
  </si>
  <si>
    <t>HMKSİDGR0002</t>
  </si>
  <si>
    <t>HİPLDGR00001</t>
  </si>
  <si>
    <t>HMİSKDGR0099</t>
  </si>
  <si>
    <t>HMİSKDGR0086</t>
  </si>
  <si>
    <t>HMİSKDGR0082</t>
  </si>
  <si>
    <t>HMİSKDGR0090</t>
  </si>
  <si>
    <t>HMİSKDGR0080</t>
  </si>
  <si>
    <t>HMİSKDGR0092</t>
  </si>
  <si>
    <t>HİSKDGR00004</t>
  </si>
  <si>
    <t>HMİSKDGR0091</t>
  </si>
  <si>
    <t>HMİSKDGR0085</t>
  </si>
  <si>
    <t>HMİSKDGR0088</t>
  </si>
  <si>
    <t>HMİSKDGR0081</t>
  </si>
  <si>
    <t>HMİSKDGR0127</t>
  </si>
  <si>
    <t>HMİSKDGR0089</t>
  </si>
  <si>
    <t>HMİSKDGR0083</t>
  </si>
  <si>
    <t>HMİSKDGR0102</t>
  </si>
  <si>
    <t>HMİSKDGR0126</t>
  </si>
  <si>
    <t>HMİSKDGR0087</t>
  </si>
  <si>
    <t>HMİSKDGR0084</t>
  </si>
  <si>
    <t>HMİSKDGR0116</t>
  </si>
  <si>
    <t>HMİSKDGR0114</t>
  </si>
  <si>
    <t>HMİSKDGR0118</t>
  </si>
  <si>
    <t>HMKSİDGR0007</t>
  </si>
  <si>
    <t>HMKSİDGR0006</t>
  </si>
  <si>
    <t>HMKSİDGR0008</t>
  </si>
  <si>
    <t>HMKSİDGR0005</t>
  </si>
  <si>
    <t>HMKSİDGR0003</t>
  </si>
  <si>
    <t>HMKSİDGR0013</t>
  </si>
  <si>
    <t>HMKSİDGR0014</t>
  </si>
  <si>
    <t>HMKSİDGR0004</t>
  </si>
  <si>
    <t>HMKSİDGR0012</t>
  </si>
  <si>
    <t>HMKSİDGR0001</t>
  </si>
  <si>
    <t>HMKSİDGR0011</t>
  </si>
  <si>
    <t>HMKSİDGR0010</t>
  </si>
  <si>
    <t>HMKSİDGR0009</t>
  </si>
  <si>
    <t>HMİSKDGR0109</t>
  </si>
  <si>
    <t>HMİSKDGR0117</t>
  </si>
  <si>
    <t>HMİSKDGR0115</t>
  </si>
  <si>
    <t>HMİSKDGR0119</t>
  </si>
  <si>
    <t>HMİSKZEM0001</t>
  </si>
  <si>
    <t>HMİSKDGR0113</t>
  </si>
  <si>
    <t>HMİSKDGR0121</t>
  </si>
  <si>
    <t>HMİSKDGR0123</t>
  </si>
  <si>
    <t>HMİSKDGR0125</t>
  </si>
  <si>
    <t>HMİSKDGR0111</t>
  </si>
  <si>
    <t>HMİSKDGR0062</t>
  </si>
  <si>
    <t>HMİSKDGR0064</t>
  </si>
  <si>
    <t>HMİSKDGR0073</t>
  </si>
  <si>
    <t>HMİSKDGR0075</t>
  </si>
  <si>
    <t>HMİSKDGR0067</t>
  </si>
  <si>
    <t>HMİSKDGR0072</t>
  </si>
  <si>
    <t>HMİSKDGR0070</t>
  </si>
  <si>
    <t>HMİSKDGR0069</t>
  </si>
  <si>
    <t>HMİSKDGR0071</t>
  </si>
  <si>
    <t>HMİSKDGR0094</t>
  </si>
  <si>
    <t>HMİSKDGR0076</t>
  </si>
  <si>
    <t>HMİSKDGR0057</t>
  </si>
  <si>
    <t>HMİSKDGR0059</t>
  </si>
  <si>
    <t>HMİSKDGR0041</t>
  </si>
  <si>
    <t>HMİSKDGR0074</t>
  </si>
  <si>
    <t>HMİSKDGR0060</t>
  </si>
  <si>
    <t>HMİSKDGR0038</t>
  </si>
  <si>
    <t>HMİSKDGR0049</t>
  </si>
  <si>
    <t>HMİSKDGR0066</t>
  </si>
  <si>
    <t>HMİSKDGR0001</t>
  </si>
  <si>
    <t>HMİSKDGR0018</t>
  </si>
  <si>
    <t>HMİSKDGR0019</t>
  </si>
  <si>
    <t>HMİSKDGR0020</t>
  </si>
  <si>
    <t>HMİSKDGR0021</t>
  </si>
  <si>
    <t>HMİSKDGR0022</t>
  </si>
  <si>
    <t>HMİSKDGR0023</t>
  </si>
  <si>
    <t>HMİSKDGR0024</t>
  </si>
  <si>
    <t>HMİSKDGR0025</t>
  </si>
  <si>
    <t>HMİSKDGR0026</t>
  </si>
  <si>
    <t>HMİSKDGR0027</t>
  </si>
  <si>
    <t>HMİSKDGR0078</t>
  </si>
  <si>
    <t>HMİSKDGR0096</t>
  </si>
  <si>
    <t>HMİSKDGR0128</t>
  </si>
  <si>
    <t>HMİSKDGR0004</t>
  </si>
  <si>
    <t>HMİSKDGR0005</t>
  </si>
  <si>
    <t>HMİSKDGR0006</t>
  </si>
  <si>
    <t>HMİSKDGR0007</t>
  </si>
  <si>
    <t>HMİSKDGR0008</t>
  </si>
  <si>
    <t>HMİSKDGR0009</t>
  </si>
  <si>
    <t>HMİSKDGR0010</t>
  </si>
  <si>
    <t>HMİSKDGR0011</t>
  </si>
  <si>
    <t>HMİSKDGR0012</t>
  </si>
  <si>
    <t>HMİSKDGR0013</t>
  </si>
  <si>
    <t>HMİSKDGR0014</t>
  </si>
  <si>
    <t>HMİSKDGR0015</t>
  </si>
  <si>
    <t>HMİSKDGR0016</t>
  </si>
  <si>
    <t>HMİSKDGR0017</t>
  </si>
  <si>
    <t>HMİSKDGR0079</t>
  </si>
  <si>
    <t>HMİSKDGR0129</t>
  </si>
  <si>
    <t>HMİSKDGR0068</t>
  </si>
  <si>
    <t>HMİSKDGR0093</t>
  </si>
  <si>
    <t>HMİSKDGR0003</t>
  </si>
  <si>
    <t>HMİSKDGR0028</t>
  </si>
  <si>
    <t>HMİSKDGR0029</t>
  </si>
  <si>
    <t>HMİSKDGR0030</t>
  </si>
  <si>
    <t>HMİSKDGR0031</t>
  </si>
  <si>
    <t>HMİSKDGR0032</t>
  </si>
  <si>
    <t>HMİSKDGR0033</t>
  </si>
  <si>
    <t>HMİSKDGR0097</t>
  </si>
  <si>
    <t>HMİSKDGR0098</t>
  </si>
  <si>
    <t>HMİSKDGR0043</t>
  </si>
  <si>
    <t>HMİSKDGR0034</t>
  </si>
  <si>
    <t>HMİSKDGR0036</t>
  </si>
  <si>
    <t>HMİSKDGR0100</t>
  </si>
  <si>
    <t>HMİSKDGR0065</t>
  </si>
  <si>
    <t>HMİSKDGR0035</t>
  </si>
  <si>
    <t>HMİSKDGR0105</t>
  </si>
  <si>
    <t>HMİSKDGR0050</t>
  </si>
  <si>
    <t>HMİSKDGR0045</t>
  </si>
  <si>
    <t>HMİSKDGR0052</t>
  </si>
  <si>
    <t>HMİSKDGR0053</t>
  </si>
  <si>
    <t>HMİSKDGR0101</t>
  </si>
  <si>
    <t>HMİSKDGR0055</t>
  </si>
  <si>
    <t>HMİSKDGR0048</t>
  </si>
  <si>
    <t>HMİSKDGR0063</t>
  </si>
  <si>
    <t>HMİSKDGR0095</t>
  </si>
  <si>
    <t>HMİSKDGR0077</t>
  </si>
  <si>
    <t>HMİSKDGR0103</t>
  </si>
  <si>
    <t>HMİSKDGR0104</t>
  </si>
  <si>
    <t>HMİSKDGR0051</t>
  </si>
  <si>
    <t>HMİSKDGR0042</t>
  </si>
  <si>
    <t>HMİSKDGR0054</t>
  </si>
  <si>
    <t>HMİSKDGR0058</t>
  </si>
  <si>
    <t>HMİSKDGR0044</t>
  </si>
  <si>
    <t>HMİSKDGR0040</t>
  </si>
  <si>
    <t>HMİSKDGR0056</t>
  </si>
  <si>
    <t>HMİSKDGR0061</t>
  </si>
  <si>
    <t>HMİSKDGR0046</t>
  </si>
  <si>
    <t>HMİSKDGR0039</t>
  </si>
  <si>
    <t>HMİSKDGR0047</t>
  </si>
  <si>
    <t>HMİSKDGR0037</t>
  </si>
  <si>
    <t>HMİSKDGR0106</t>
  </si>
  <si>
    <t>HMİSKDGR0108</t>
  </si>
  <si>
    <t>HMİSKDGR0112</t>
  </si>
  <si>
    <t>HMİSKDGR0120</t>
  </si>
  <si>
    <t>HMİSKDGR0122</t>
  </si>
  <si>
    <t>HMİSKDGR0124</t>
  </si>
  <si>
    <t>HMİSKDGR0110</t>
  </si>
  <si>
    <t>HMİSKDGR0107</t>
  </si>
  <si>
    <t>???HM AKSESUAR DİĞER BAZA TAKOZU</t>
  </si>
  <si>
    <t>???HM AKSESUAR DİĞER GİZLİ BAZA KORUMA PLASTİĞİ</t>
  </si>
  <si>
    <t>???HM AKSESUAR DİĞER TOKA ELONA GOLD</t>
  </si>
  <si>
    <t>???HM AKSESUAR DİĞER TOKA ELONA NİKEL</t>
  </si>
  <si>
    <t>???HM AYAK DİĞER BAZA TABANI TAKOZ AYAK</t>
  </si>
  <si>
    <t>???HM AYAK DİĞER KAPLAMALI GOLD</t>
  </si>
  <si>
    <t>???HM AYAK DİĞER KİRAZ 15 CM</t>
  </si>
  <si>
    <t>???HM AYAK DİĞER KİRAZ 19 CM</t>
  </si>
  <si>
    <t>???HM BOYA DİĞER BETA END.ASTAR</t>
  </si>
  <si>
    <t>???HM DİĞER STAFOR 2 CM KARBONTU</t>
  </si>
  <si>
    <t>???HM DİĞER STAFOR 3 CM KARBONTU</t>
  </si>
  <si>
    <t>???HM DİĞER STAFOR 5CM KARBONTU</t>
  </si>
  <si>
    <t>???HM HIRDAVAT BERRAK KADEMESİZ BAĞLANTI APARATICSS-3 KKO</t>
  </si>
  <si>
    <t>???HM HIRDAVAT DİĞER 3/8 YEDEK STOPER UCU DISI</t>
  </si>
  <si>
    <t>???HM HIRDAVAT DİĞER 3/8*1*4 SARI REDIKSIYON</t>
  </si>
  <si>
    <t>???HM HIRDAVAT DİĞER 4370-010 KLİPS</t>
  </si>
  <si>
    <t>???HM HIRDAVAT DİĞER BETA END.PARLAK SİYAH TNK 15KG</t>
  </si>
  <si>
    <t>HHRDDĞR00001</t>
  </si>
  <si>
    <t>HHRDdĞr00004</t>
  </si>
  <si>
    <t>???HM HIRDAVAT DİĞER MAVZER SÜRGÜ 10 NO</t>
  </si>
  <si>
    <t>???HM HIRDAVAT DİĞER METAL KESİCİ</t>
  </si>
  <si>
    <t>???HM HIRDAVAT DİĞER PLASTİK DUBEL 8MM</t>
  </si>
  <si>
    <t>???HM HIRDAVAT DİĞER PLUS 700</t>
  </si>
  <si>
    <t>???HM HIRDAVAT DİĞER RESIFLON TEFLON BANT</t>
  </si>
  <si>
    <t>???HM HIRDAVAT DİĞER RULO PARMAK 10 CM SATEN YEDEK</t>
  </si>
  <si>
    <t>???HM HIRDAVAT DİĞER SPOTER HAVA VALFI 1/2 ERKEK</t>
  </si>
  <si>
    <t>???HM HIRDAVAT DİĞER STOPER HAVA VALFI 1/2 ERKEK</t>
  </si>
  <si>
    <t>???HM HIRDAVAT DİĞER TS-61</t>
  </si>
  <si>
    <t>???HM HIRDAVAT DİĞER VA 493-97 IRMAK 18*18*10 CM MAT CEVİZ</t>
  </si>
  <si>
    <t>???HM HIRDAVAT DİĞER VA 610-97 KLAS 18*18*10 CM MAT CEVİZ</t>
  </si>
  <si>
    <t>???HM HIRDAVAT DİĞER VA 660-97 KELEBEK 18*18*10 CM MAT CEVİZ</t>
  </si>
  <si>
    <t>???HM MEKANİZMA DİĞER V KOLTUK MEKANİZMASI(KONFOR TK)</t>
  </si>
  <si>
    <t>???HM PROFİL DİĞER M03 PVC 100 MT</t>
  </si>
  <si>
    <t>AMBALAJ DİĞER BARREL/CHESTER KOLİSİ</t>
  </si>
  <si>
    <t>AMBALAJ DİĞER HİPPİ KOLİSİ</t>
  </si>
  <si>
    <t>AMBALAJ DİĞER LONGLİNE KOLİSİ</t>
  </si>
  <si>
    <t>AMBALAJ DİĞER LULU KOLİSİ</t>
  </si>
  <si>
    <t>AMBALAJ DİĞER RİCKY KOLİSİ</t>
  </si>
  <si>
    <t>HM AMBALAJ DİĞER 16MM METAL TOKA (250 ADET)</t>
  </si>
  <si>
    <t>HM AMBALAJ DİĞER 16MM POLYESTER ÇEMBER (100MT)</t>
  </si>
  <si>
    <t>HM AMBALAJ DİĞER 185x2200MM KARTON-KANEPE KORUMA-KOL 4257</t>
  </si>
  <si>
    <t>HM AMBALAJ DİĞER 26x26 KARTON-BAZA KORUMA-LOGOLU</t>
  </si>
  <si>
    <t>HM AMBALAJ DİĞER 30x30 KARTON-BAZA KORUMA-LOGOLU</t>
  </si>
  <si>
    <t>HM AMBALAJ DİĞER BALONLU NAYLON 2.KALİTE(NET:180G-BRÜT:160G)</t>
  </si>
  <si>
    <t>HM AMBALAJ DİĞER BALONLU-HAVALI NAYLON 1. KALİTE</t>
  </si>
  <si>
    <t>HM AMBALAJ DİĞER DÜZ NAYLON 1.KALİTE</t>
  </si>
  <si>
    <t>HM AMBALAJ DİĞER DÜZ NAYLON 2. KALİTE</t>
  </si>
  <si>
    <t>HM AMBALAJ DİĞER PE NAYLON TORBA 15x25 (1KG=280 ADET)</t>
  </si>
  <si>
    <t>HM AMBALAJ DİĞER PE NAYLON TORBA 50X50 (1KG=42 ADET)</t>
  </si>
  <si>
    <t>HM AMBALAJ DİĞER PE NAYLON TORBA 50x95 - 55x90 (1KG=23.33)</t>
  </si>
  <si>
    <t>HM AMBALAJ DİĞER PE NAYLON TORBA 60x100 (1KG=17.0731 ADET)</t>
  </si>
  <si>
    <t>HM AMBALAJ DİĞER PE NAYLON TORBA 80X95 (1KG=15.8520 ADET)</t>
  </si>
  <si>
    <t>HM AMBALAJ DİĞER PE NAYLON TORBA 95x110 (1KG=11.6646 ADET)</t>
  </si>
  <si>
    <t>HM ASTAR DİĞER BEZASTAR-PAMUKLU 50CM</t>
  </si>
  <si>
    <t>HM ASTAR DİĞER BEZASTAR-PAMUKLU 70CM</t>
  </si>
  <si>
    <t>HM ASTAR DİĞER BEZASTAR-PAMUKLU 80CM</t>
  </si>
  <si>
    <t>HM ASTAR DİĞER BEZASTAR-PAMUKLU 90CM</t>
  </si>
  <si>
    <t>HM AYAK DİĞER ASUA MONTAJ ANAHTARI</t>
  </si>
  <si>
    <t>HM AYAK DİĞER MİSLİNE TOSCANA VA981-352 SYH-PRNÇ 18CM</t>
  </si>
  <si>
    <t>HM AYAK DİĞER NURAKS GİZLİ AYAK 18CM-AĞAÇ</t>
  </si>
  <si>
    <t>HM AYAK DİĞER PLASTİK-AYDER 10CM 15x15x10</t>
  </si>
  <si>
    <t>HM AYAK DİĞER PLASTİK-AYDER 14CM 18x18x14</t>
  </si>
  <si>
    <t>HM AYAK DİĞER PLASTİK-AYDER 18CM 10x10x18</t>
  </si>
  <si>
    <t>HM AYAK DİĞER PLASTİK-ÇİVİLİ PABUÇ KABARA ÇAP20*H5MM</t>
  </si>
  <si>
    <t>HM AYAK DİĞER PLASTİK-DİCLE 10CM 16.5x16.5x10 KROM</t>
  </si>
  <si>
    <t>HM AYAK DİĞER PLASTİK-GİZLİ 10 CM M8</t>
  </si>
  <si>
    <t>HM AYAK DİĞER PLASTİK-GİZLİ 14CM</t>
  </si>
  <si>
    <t>HM AYAK DİĞER PLASTİK-GİZLİ AYARLI 9.5x14 M/8 BEYAZ</t>
  </si>
  <si>
    <t>HM AYAK DİĞER PLASTİK-GİZLİ AYARLI 9.5x14 M/8 SİYAH</t>
  </si>
  <si>
    <t>HM AYAK DİĞER PLASTİK-GİZLİ AYARLI 9.5x14 M/8 VENGE</t>
  </si>
  <si>
    <t>HM AYAK DİĞER PLASTİK-İNOX VA 881-01 18CM KROM</t>
  </si>
  <si>
    <t>HM AYAK DİĞER PLASTİK-LOFT 20CM PİRİNÇ KAPLAMA</t>
  </si>
  <si>
    <t>HM AYAK DİĞER PLASTİK-MİSLİNE ILICA VA991-01 19CM KROM KAPL.</t>
  </si>
  <si>
    <t>HM AYAK DİĞER PLASTİK-MİSLİNE OLİMPOS 19CM VA961-352</t>
  </si>
  <si>
    <t>HM AYAK DİĞER PLASTİK-MİSLİNE PARS VB 122-352 18CM SİYAH PİR</t>
  </si>
  <si>
    <t>HM AYAK DİĞER PLASTİK-MODA 19CM MAT SİYAH</t>
  </si>
  <si>
    <t>HM AYAK DİĞER PLASTİK-PLATİN 16CM METALİK PİRİNÇ KAPLAMA</t>
  </si>
  <si>
    <t>HM AYAK DİĞER PLASTİK-PLATİN 19CM VA791-467/791-01</t>
  </si>
  <si>
    <t>HM AYAK DİĞER PLASTİK-SEDİR 14CM 17x17x14</t>
  </si>
  <si>
    <t>HM AYAK DİĞER PLASTİK-SEDİR 18CM 10x10x18</t>
  </si>
  <si>
    <t>HM AYAK DİĞER PLASTİK-ZADE MİLAN 12CM VENEZİA</t>
  </si>
  <si>
    <t>HM AYAK DİĞER-FERFORJE BENCH (BOYALI)</t>
  </si>
  <si>
    <t>HM AYAK DİĞER-METAL KONİK 20CM GOLD (YILDIRIM YAPI)</t>
  </si>
  <si>
    <t>HM AYAK DİĞER-PLASTİK ERCİYES MZ DUPONT 20CM AĞAÇ KÜBİK(C56)</t>
  </si>
  <si>
    <t>HM AYAK DİĞER-PLASTİK MODA 19CM AÇIK KÜBİK CEVİZ</t>
  </si>
  <si>
    <t>HM BAZA MALZEME DİĞER 30*20 İÇ TAPA</t>
  </si>
  <si>
    <t>HM BAZA MALZEME DİĞER BAZA EMNİYET KİLİDİ PLASTİK</t>
  </si>
  <si>
    <t>HM BAZA MALZEME DİĞER BAZA FIRIN BOYA</t>
  </si>
  <si>
    <t>HM BAZA MALZEME DİĞER BAZA KULPU METAL M6/128MM</t>
  </si>
  <si>
    <t>HM BAZA MALZEME DİĞER BAZA MAKASI LİDER MK82 BOYALI</t>
  </si>
  <si>
    <t>HM BAZA MALZEME DİĞER BAZA PİSTONU 750N</t>
  </si>
  <si>
    <t>HM BAZA MALZEME DİĞER BAZA YAN KULP 30/41</t>
  </si>
  <si>
    <t>HM BAZA MALZEME DİĞER DENGE TAKOZU</t>
  </si>
  <si>
    <t>HM BAZA MALZEME DİĞER KAPAK SUNTA TUTUCU</t>
  </si>
  <si>
    <t>HM BAZA MALZEME DİĞER STOPER ÇOK YÖNLÜ 30MM</t>
  </si>
  <si>
    <t>HM BİYE DİĞER 45MM (YATAK FİTİLİ)</t>
  </si>
  <si>
    <t>HM BİYE DİĞER 45MM KANEPE KAPİTONE (KG) (YATAK FİTİLİ)</t>
  </si>
  <si>
    <t>HM BORU PROFİL DİĞER 17x2 YUVARLAK</t>
  </si>
  <si>
    <t>HM BORU PROFİL DİĞER 27x2 YUVARLAK</t>
  </si>
  <si>
    <t>HM BOYA DİĞER ASUA ROUKA FIRIN BOYA</t>
  </si>
  <si>
    <t>HM BOYA DİĞER PAMUKKALE ALTIN YALDIZ</t>
  </si>
  <si>
    <t>HM BOYA DİĞER PAMUKKALE SİYAH YALDIZSIZ</t>
  </si>
  <si>
    <t>HM BOYA DİĞER POLCHEM SELL.DOLGU VERNİĞİ ND20 12LT</t>
  </si>
  <si>
    <t>HM BOYA DİĞER POLCHEM SELL.TN20 EXTRA TİNER 12LT</t>
  </si>
  <si>
    <t>HM BOYA DİĞER POLCHEM SENTETİK TW 10 TİNER 12LT</t>
  </si>
  <si>
    <t>HM BOYA DİĞER POLCHEM YAT VERNİK PARLAK 12LT</t>
  </si>
  <si>
    <t>HM BOYA DİĞER TAMİR MACUNU ÇAM</t>
  </si>
  <si>
    <t>HM BOYA DİĞER TAMİR MACUNU KAYIN</t>
  </si>
  <si>
    <t>HM BOYA DİĞER-BOYA CİLA MALZ.TİNER-VERNİK-ZIMPARA</t>
  </si>
  <si>
    <t>HM BOYA DİĞER-HELLAS FIRIN BOYA SİYAH</t>
  </si>
  <si>
    <t>HM CİVATA DİĞER 1/4x40 YB KASA</t>
  </si>
  <si>
    <t>HM CİVATA DİĞER ALYAN ANAHTAR 5MM</t>
  </si>
  <si>
    <t>HM CİVATA DİĞER M8 10/15 METAL DUBEL</t>
  </si>
  <si>
    <t>HM DEMİR DİĞER ASUA 4MM L PARÇA(HUQQA AYAK)</t>
  </si>
  <si>
    <t>HM DİĞER DİĞER DEMİR KIVIRMA ROUKA BERJER</t>
  </si>
  <si>
    <t>HM DİĞER KESİM LOUCA (MARİN ÇİFT DELİK) (23DK)</t>
  </si>
  <si>
    <t>HM DÜĞME DİĞER 32 ÇİVİLİ KAPSÜL TIRTIRLI H18(PAKET=500 ADET)</t>
  </si>
  <si>
    <t>HM DÜĞME DİĞER 32 KANCALI KAPSÜL BO32 (500AD)</t>
  </si>
  <si>
    <t>HM DÜĞME DİĞER-SÜS 25x25 GOLD</t>
  </si>
  <si>
    <t>HM DÜĞME DİĞER-SÜS 40MM DÜĞME KAHVE-BEYAZ-SİYAH</t>
  </si>
  <si>
    <t>HM DÜĞME DİĞER-SÜS 50x10MM GOLD</t>
  </si>
  <si>
    <t>HM DÜĞME DİĞER-TOKA SOSYETE KROM KULP</t>
  </si>
  <si>
    <t>HM DÜĞME DİĞER-TOKA HALKA SARKAÇ KULP (RİXOS)</t>
  </si>
  <si>
    <t>HM DÜĞME DİĞER-TOKA PRADA GOLD(MİRA KANEPE)</t>
  </si>
  <si>
    <t>HM ELKAMET DİĞER ANGELA PÜSKÜL</t>
  </si>
  <si>
    <t>HM ELYAF DİĞER BONCUK SİLİKON</t>
  </si>
  <si>
    <t>HM ELYAF DİĞER-VATKA 90GR 200CM EN (KGI) 60METRE</t>
  </si>
  <si>
    <t>HM ETİKET DİĞER-YATAK DERİ TUTMA SAPI LOGOLU</t>
  </si>
  <si>
    <t>HM ETİKET DİĞER-YATAK DERİ+FLEXİ HAVA KAPSÜLÜ LOGOLU</t>
  </si>
  <si>
    <t>HM ETİKET DİĞER-YATAK DERİ+FLEXİ ÖN ETİKET 100x120 LOGOLU</t>
  </si>
  <si>
    <t>HM ETİKET DİĞER-YATAK DERİ+FLEXİ ÖN ETİKET 140x160 LOGOLU</t>
  </si>
  <si>
    <t>HM HIRDAVAT DİĞER ZİGZAG YAY LASTİĞİ</t>
  </si>
  <si>
    <t>HM İPLİK DİĞER MUMLU 1.10MM (500M)</t>
  </si>
  <si>
    <t>HM İSKELER DİĞER BERJER ROCK SALLANAN MEKANİZMA</t>
  </si>
  <si>
    <t>HM İSKELER DİĞER KOLTUK FAVELA 2Lİ</t>
  </si>
  <si>
    <t>HM İSKELET DİĞER BERJER ALTI YUVARLAK</t>
  </si>
  <si>
    <t>HM İSKELET DİĞER BERJER BRİTA-SİMGE</t>
  </si>
  <si>
    <t>HM İSKELET DİĞER BERJER BÜYÜK SEMERLİ</t>
  </si>
  <si>
    <t>HM İSKELET DİĞER BERJER COSTA-SİMGE</t>
  </si>
  <si>
    <t>HM İSKELET DİĞER BERJER FAVELA</t>
  </si>
  <si>
    <t>HM İSKELET DİĞER BERJER HECTOR-SİMGE</t>
  </si>
  <si>
    <t>HM İSKELET DİĞER BERJER KALİNA SALLANAN</t>
  </si>
  <si>
    <t>HM İSKELET DİĞER BERJER LORENTA-KADİR</t>
  </si>
  <si>
    <t>HM İSKELET DİĞER BERJER MİELES</t>
  </si>
  <si>
    <t>HM İSKELET DİĞER BERJER MONZA</t>
  </si>
  <si>
    <t>HM İSKELET DİĞER BERJER PİERO-KADİR</t>
  </si>
  <si>
    <t>HM İSKELET DİĞER BERJER TOMBİK</t>
  </si>
  <si>
    <t>HM İSKELET DİĞER DAİSY</t>
  </si>
  <si>
    <t>HM İSKELET DİĞER FAVELA KOL(DEMONTE) 2 AD.</t>
  </si>
  <si>
    <t>HM İSKELET DİĞER KOLTUK FAVELA 3LÜ</t>
  </si>
  <si>
    <t>HM İSKELET DİĞER MATİLDA</t>
  </si>
  <si>
    <t>HM KANEPE MALZEME AÇILI METAL AYAK BAĞLANTI APARATI</t>
  </si>
  <si>
    <t>HM KANEPE MALZEME DİĞER FİTİL KÖPÜK İNCE C0015-030MM (1200M)</t>
  </si>
  <si>
    <t>HM KANEPE MALZEME DİĞER KAYTAN NO:14</t>
  </si>
  <si>
    <t>HM KANEPE MALZEME DİĞER KAYTAN NO:14 SÜPER (40MT)</t>
  </si>
  <si>
    <t>HM KANEPE MALZEME DİĞER KAYTAN NO:16 NORMAL</t>
  </si>
  <si>
    <t>HM KANEPE MALZEME DİĞER-PLS GİZLİ AYAK BAĞLANTISI M8</t>
  </si>
  <si>
    <t>HM KAPİTONE DİĞER-BAZA YAN DUVAR+1.6x0.07x2 BYZ SÜNGER+TELA</t>
  </si>
  <si>
    <t>HM KESİM DİĞER (44.5 DELİKLİ) (MOJO PUF) (17dk)</t>
  </si>
  <si>
    <t>HM KESİM DİĞER (ÇAP 35 DAİRE) (RİDGE) (12dk)</t>
  </si>
  <si>
    <t>HM KESİM DİĞER 8MM SİMİT (FİNE ÜST KISIM) (40dk)</t>
  </si>
  <si>
    <t>HM KESİM DİĞER GİGİ DELİKSİZ(BASİT KASA) (18DK)</t>
  </si>
  <si>
    <t>HM KESİM DİĞER GİGİ SİMİT (FİNE ALT KISIM) (37CM ÇAP) (23DK)</t>
  </si>
  <si>
    <t>HM KESİM DİĞER HOOPA KOL (46dk) 183X366</t>
  </si>
  <si>
    <t>HM KESİM DİĞER KANEPE MDF EBATLAMA</t>
  </si>
  <si>
    <t>HM KESİM DİĞER MARİN 8MM(SANDIKLI MARİN KAPAK)</t>
  </si>
  <si>
    <t>HM KESİM DİĞER MARİN SİMİT(MARİN SANDIKLI) (27DK)</t>
  </si>
  <si>
    <t>HM KESİM DİĞER MİELES-VALENJE KOL CNC</t>
  </si>
  <si>
    <t>HM KESİM DİĞER MOJO BERJER (OTURUM) (20dk)</t>
  </si>
  <si>
    <t>HM KESİM DİĞER MOJO BERJER KLAPA (19dk)</t>
  </si>
  <si>
    <t>HM KESİM DİĞER MOJO PUF (KAPAK) (22dk)</t>
  </si>
  <si>
    <t>HM KESİM DİĞER TOM KAFA</t>
  </si>
  <si>
    <t>HM KUTU PROFİL DİĞER 20x20x1</t>
  </si>
  <si>
    <t>HM KUTU PROFİL DİĞER 20x30x1.20</t>
  </si>
  <si>
    <t>HM KUTU PROFİL DİĞER 20x30x1.5</t>
  </si>
  <si>
    <t>HM KUTU PROFİL DİĞER 20x30x2</t>
  </si>
  <si>
    <t>HM KUTU PROFİL DİĞER 20x40x1.2</t>
  </si>
  <si>
    <t>HM KUTU PROFİL DİĞER 25x25x1.2</t>
  </si>
  <si>
    <t>HM KUTU PROFİL DİĞER 30x30x1.5</t>
  </si>
  <si>
    <t>HM KUTU PROFİL DİĞER 40x60x1.5</t>
  </si>
  <si>
    <t>HM MEKANİZMA DİĞER CTT DEMONT BAĞLANTI APARATI</t>
  </si>
  <si>
    <t>HM MEKANİZMA DİĞER KOL KAVRAMA KIZAĞI MK43 12CM</t>
  </si>
  <si>
    <t>HM MEKANİZMA DİĞER SIRT VE KOL HAREKET SKK ÇİFTLİ</t>
  </si>
  <si>
    <t>HM MEKANİZMA DİĞER SIRT VE KOL HAREKET SKY ÇİFTLİ</t>
  </si>
  <si>
    <t>HM MEKANİZMA DİĞER SIRT VE KOL HAREKET SKY TEKLİ</t>
  </si>
  <si>
    <t>HM MEKANİZMA DİĞER USB PORT+ADAPTÖR</t>
  </si>
  <si>
    <t>HM MEKANİZMA DİĞER-KOLTUK BÜYÜK JAPON MAKAS NORMAL MK01</t>
  </si>
  <si>
    <t>HM MEKANİZMA DİĞER-KOLTUK KOYA KDS-1.2 (SIRT MİNDER) (5 DLR)</t>
  </si>
  <si>
    <t>HM MEKANİZMA DİĞER-KOLTUK SIFIRDAN AÇILIR JPN MİDİ MK77</t>
  </si>
  <si>
    <t>HM MEKANİZMA DİĞER-KOLTUK SIRT HAREKET CSS-3 EKO</t>
  </si>
  <si>
    <t>HM NAKLİYE ÜCRETİ DİĞER HAMMADDE</t>
  </si>
  <si>
    <t>HM PANEL DİĞER 18MM HAM MDF M2</t>
  </si>
  <si>
    <t>HM PANEL DİĞER 18MM MDFLAM ÇİFT YÜZ DESENLİ M2</t>
  </si>
  <si>
    <t>HM PANEL DİĞER 18MM SUNTALAM ÇİFT YÜZ BEYAZ M2</t>
  </si>
  <si>
    <t>HM PANEL DİĞER 18MM SUNTALAM ÇİFT YÜZ DESENLİ M2</t>
  </si>
  <si>
    <t>HM PANEL DİĞER 5MM MDF TEK YÜZ PRİNT(BOYALI) DESENLİ M2</t>
  </si>
  <si>
    <t>HM PANEL DİĞER 8MM HAM MDF M2</t>
  </si>
  <si>
    <t>HM PANEL DİĞER 8MM SUNTALAM ÇİFT YÜZ BEYAZ M2</t>
  </si>
  <si>
    <t>HM PANEL DİĞER 8MM SUNTALAM ÇİFT YÜZ DESENLİ M2</t>
  </si>
  <si>
    <t>HM PUL/RONDELA DİĞER 1/4 (1 KG=500 ADET)</t>
  </si>
  <si>
    <t>HM SARF MALZEME DİĞER BOYA KESTİRME FIRÇA İSTANBUL 1.5 NO.</t>
  </si>
  <si>
    <t>HM SARF MALZEME DİĞER DEWALT PH BİTS 2.50 UÇ</t>
  </si>
  <si>
    <t>HM SARF MALZEME DİĞER EĞRİ İĞNE</t>
  </si>
  <si>
    <t>HM SARF MALZEME DİĞER ELDİVEN AKTİVE PU (PK=12AD)</t>
  </si>
  <si>
    <t>HM SARF MALZEME DİĞER ELDİVEN BEYBİ PN5 ZEBRA</t>
  </si>
  <si>
    <t>HM SARF MALZEME DİĞER ELDİVEN UNİVERSAL KÖPÜK 6121RL</t>
  </si>
  <si>
    <t>HM SARF MALZEME DİĞER ELEKTROT 3.25</t>
  </si>
  <si>
    <t>HM SARF MALZEME DİĞER FLAP 115 KARBOSAN 80 KUM</t>
  </si>
  <si>
    <t>HM SARF MALZEME DİĞER FLAP 115 PARS 60 KUM</t>
  </si>
  <si>
    <t>HM SARF MALZEME DİĞER GAZALTI KAYNAK TELİ 0.8MM(PAKET 15 KG)</t>
  </si>
  <si>
    <t>HM SARF MALZEME DİĞER GENEL</t>
  </si>
  <si>
    <t>HM SARF MALZEME DİĞER İKİ UÇLU İĞNE</t>
  </si>
  <si>
    <t>HM SARF MALZEME DİĞER KAPİTONE ÇEKME İĞNESİ</t>
  </si>
  <si>
    <t>HM SARF MALZEME DİĞER KAYNAK CAMI 777 SİYAH</t>
  </si>
  <si>
    <t>HM SARF MALZEME DİĞER KAYNAK TÜPÜ SAF KARBONDİOKSİT 25KG</t>
  </si>
  <si>
    <t>HM SARF MALZEME DİĞER KONTAK MEME M6*0.8</t>
  </si>
  <si>
    <t>HM SARF MALZEME DİĞER MATKAP UCU 8CM</t>
  </si>
  <si>
    <t>HM SARF MALZEME DİĞER NOZUL 25LİK</t>
  </si>
  <si>
    <t>HM SARF MALZEME DİĞER RETTA BİTS UÇ PH2*50 MM</t>
  </si>
  <si>
    <t>HM SARF MALZEME DİĞER RETTA DEKUPAJ UC T111Ç 5 AĞAÇ</t>
  </si>
  <si>
    <t>HM SARF MALZEME DİĞER SIFIR MAKAS İPLİK TEMİZLEME</t>
  </si>
  <si>
    <t>HM SARF MALZEME DİĞER SÜNGER BIÇAĞI DÜZ ORTA</t>
  </si>
  <si>
    <t>HM SARF MALZEME DİĞER TOZ MASKESİ VENTİ</t>
  </si>
  <si>
    <t>HM SARF MALZEME DİĞER TRİCRAFT İNOX 115*1</t>
  </si>
  <si>
    <t>HM SARF MALZEME DİĞER ZIMPARA KURU 6 DELİK NO:150 İNDASA</t>
  </si>
  <si>
    <t>HM SARF MALZEME DİĞER ZIMPARA KURU 6 DELİK NO:180 İNDASA</t>
  </si>
  <si>
    <t>HM SARF MALZEME DİĞER ZIMPARA KURU 6 DELİK NO:80 İNDASA P=50</t>
  </si>
  <si>
    <t>HM SARF MALZEME DİĞER ZIMPARA MAKİNE P180 MİRKA 115X230</t>
  </si>
  <si>
    <t>HM SARF MALZEME DİĞER ZIMPARA MAKİNE P60 MİRKA HOKİT</t>
  </si>
  <si>
    <t>HM SARF MALZEME DİĞER ZIMPARA MAKİNE P80 MİRKA HOKİT</t>
  </si>
  <si>
    <t>HM SARF MALZEME DİĞER ZIMPARA RULO SÜNGER P150 ATLAS 25M</t>
  </si>
  <si>
    <t>HM SARF MALZEME DİĞER ZIMPARA RULO SÜNGER P220 ATLAS 25M</t>
  </si>
  <si>
    <t>HM SARF MALZEME DİĞER ZIMPARA RULO SÜNGER P320 ATLAS 25M</t>
  </si>
  <si>
    <t>HM SARF MAZLEME DİĞER MAKET BIÇAĞI</t>
  </si>
  <si>
    <t>HM SOMUN DİĞER 1/4 UNC ÇELİK SOMUN BEYAZ</t>
  </si>
  <si>
    <t>HM SOMUN DİĞER KAYNAK M8</t>
  </si>
  <si>
    <t>HM SOMUN DİĞER M6 PLASTİK KELEBEK</t>
  </si>
  <si>
    <t>HM SOMUN DİĞER M8 10x20 ZAMAK</t>
  </si>
  <si>
    <t>HM SOMUN DİĞER M8 ÇELİK BEYAZ</t>
  </si>
  <si>
    <t>HM SOMUN DİĞER M8 TIRNAKLI AĞAÇ SOMUN</t>
  </si>
  <si>
    <t>HM SÜNGER DİĞER 15 DANSTE STRAFOR GRİ KARBONLU EPS KÖPÜK M3</t>
  </si>
  <si>
    <t>HM SÜNGER DİĞER 30 DANSTE M3</t>
  </si>
  <si>
    <t>HM SÜNGER DİĞER 32 DANSTE M3</t>
  </si>
  <si>
    <t>HM SÜNGER DİĞER 50 DANSTE M3 VİSKO</t>
  </si>
  <si>
    <t>HM SÜNGER DİĞER HAVUZ-DENİZ MAKARNA 6x150CM</t>
  </si>
  <si>
    <t>HM TELA DİĞER 12-14GR 160CM BEYAZ-SİYAH 1500M</t>
  </si>
  <si>
    <t>HM TELA DİĞER 60GR 160CM SİYAH 300 METRE</t>
  </si>
  <si>
    <t>HM TELA DİĞER 60GR 240CM BEYAZ</t>
  </si>
  <si>
    <t>HM VİDA DİĞER 4.8x38 YHB MATKAP UÇLU</t>
  </si>
  <si>
    <t>HM VİDA DİĞER M8x80 YHB(TORNAVİDA) KAFA 8CM-(PAVİA -FAVELA)</t>
  </si>
  <si>
    <t>HM VİDA DİĞER TRİFON SAPLAMA (MARİN AYAK)M8x60</t>
  </si>
  <si>
    <t>HHRDDĞR00008</t>
  </si>
  <si>
    <t>HM VİDA DİĞER-MATKAP UÇLU 3.9x19</t>
  </si>
  <si>
    <t>HHRDDĞR00003</t>
  </si>
  <si>
    <t>HM VİDA DİĞER-MATKAP UÇLU 4.2x45</t>
  </si>
  <si>
    <t>HM VİDA DİĞER-MATKAP UÇLU 4.8x50</t>
  </si>
  <si>
    <t>HM VİDA DİĞER-MATKAP UÇLU 4.8x90</t>
  </si>
  <si>
    <t>HM YAY DİĞER 1000GR KEÇE(KG FİYATI)</t>
  </si>
  <si>
    <t>HM YAY DİĞER-HERKÜL (70*170 KANEPE)</t>
  </si>
  <si>
    <t>HM YAY DİĞER-HERKÜL 112x192 (120x200 YATAK)</t>
  </si>
  <si>
    <t>HM YAY DİĞER-HERKÜL 142x192 (150x200 YATAK)</t>
  </si>
  <si>
    <t>HM YAY DİĞER-HERKÜL 152*192 (160x200 YATAK)</t>
  </si>
  <si>
    <t>HM YAY DİĞER-HERKÜL 172x192 (180x200 YATAK)</t>
  </si>
  <si>
    <t>HM YAY DİĞER-HERKÜL 82x182 (90x190 YATAK)</t>
  </si>
  <si>
    <t>HM YAY DİĞER-HERKÜL 92x192 (100x200 YATAK)</t>
  </si>
  <si>
    <t>HM YAY DİĞER-PAKET TS 138x188 22x32-2,00 (5BÖLGE)</t>
  </si>
  <si>
    <t>HM YAY DİĞER-PAKET TS 138x188 30x23 (BÖLGESİZ)</t>
  </si>
  <si>
    <t>HM YAY DİĞER-ZİGZAG 61CM</t>
  </si>
  <si>
    <t>HM YAY DİĞER-ZİGZAG KLİPS</t>
  </si>
  <si>
    <t>HM YAY DİĞER-ZİGZAG YAY ÇEKME 24x12 MM</t>
  </si>
  <si>
    <t>HM ZIMBA TELİ DİĞER 100x20 (675 ADET)</t>
  </si>
  <si>
    <t>HM ZIMBA TELİ DİĞER 100x40 (375 ADET)</t>
  </si>
  <si>
    <t>HM ZIMBA TELİ DİĞER 80x06 (5000 ADET)</t>
  </si>
  <si>
    <t>HM ZIMBA TELİ DİĞER 80x10 (3600 ADET)</t>
  </si>
  <si>
    <t>HM ZIMBA TELİ DİĞER 80x16 (2000 ADET)</t>
  </si>
  <si>
    <t>HM ZIMBA TELİ DİĞER ÇİVİ RULO MAGAZİN 2.5*60LIK (9000 ADET)</t>
  </si>
  <si>
    <t>HM ZIMBA TELİ DİĞER KLAPA ÇİVİSİ</t>
  </si>
  <si>
    <t>HM ZIMBA TELİ DİĞER ST38 KASA ÇİVİSİ</t>
  </si>
  <si>
    <t>HM-AYAK DİĞER PLS PABUÇ 19MM IC-ROUKA BERJER PABUÇ</t>
  </si>
  <si>
    <t>KANEPE MALZEME DİĞER LASTİK(RENNES PUF KAFA İÇİN)</t>
  </si>
  <si>
    <t>KOLİ DİĞER CLİO BENOH KOLİSİ</t>
  </si>
  <si>
    <t>KOLİ DİĞER DİANNA KOLİSİ</t>
  </si>
  <si>
    <t>KOLİ DİĞER GİGİ KOLİSİ</t>
  </si>
  <si>
    <t>KOLİ DİĞER KOLNİ KOLİSİ</t>
  </si>
  <si>
    <t>KOLİ DİĞER LAURA KELLY</t>
  </si>
  <si>
    <t>KOLİ DİĞER LAURA KOLİSİ</t>
  </si>
  <si>
    <t>KOLİ DİĞER LOCA STOL/ZOLİN KOLİSİ</t>
  </si>
  <si>
    <t>KOLİ DİĞER RİDGE KOLİT BABOL KOLİSİ</t>
  </si>
  <si>
    <t>MM KIRLENT DİĞER-LİLY</t>
  </si>
  <si>
    <t>YM İSKELET DİĞER AMORE</t>
  </si>
  <si>
    <t>YM İSKELET DİĞER ANGELA</t>
  </si>
  <si>
    <t>YM İSKELET DİĞER AYAK ESPAÇOS</t>
  </si>
  <si>
    <t>YM İSKELET DİĞER AYAK FELİX</t>
  </si>
  <si>
    <t>YM İSKELET DİĞER AYAK HOOPA</t>
  </si>
  <si>
    <t>YM İSKELET DİĞER AYAK HOURİ</t>
  </si>
  <si>
    <t>YM İSKELET DİĞER AYAK LİGREDO</t>
  </si>
  <si>
    <t>YM İSKELET DİĞER AYAK MARİN-MİLLER</t>
  </si>
  <si>
    <t>YM İSKELET DİĞER AYAK NİDO BENCH</t>
  </si>
  <si>
    <t>YM İSKELET DİĞER BERJER ARES-FEYYAZ</t>
  </si>
  <si>
    <t>YM İSKELET DİĞER BERJER ROUKA</t>
  </si>
  <si>
    <t>YM İSKELET DİĞER BONİTA</t>
  </si>
  <si>
    <t>YM İSKELET DİĞER CHESTER</t>
  </si>
  <si>
    <t>YM İSKELET DİĞER CLARA</t>
  </si>
  <si>
    <t>YM İSKELET DİĞER ÇERÇEVE LEANA</t>
  </si>
  <si>
    <t>YM İSKELET DİĞER FİNE</t>
  </si>
  <si>
    <t>YM İSKELET DİĞER GİGİ</t>
  </si>
  <si>
    <t>YM İSKELET DİĞER HİPPİ</t>
  </si>
  <si>
    <t>YM İSKELET DİĞER HOURİ</t>
  </si>
  <si>
    <t>YM İSKELET DİĞER KANEPE KNP001 180LİK YARMASIZ</t>
  </si>
  <si>
    <t>YM İSKELET DİĞER KANEPE KNP002 180LİK YARMALI</t>
  </si>
  <si>
    <t>YM İSKELET DİĞER KANEPE KNP003 175LİK YARMALI</t>
  </si>
  <si>
    <t>YM İSKELET DİĞER KANEPE KNP004 175LİK YARMASIZ</t>
  </si>
  <si>
    <t>YM İSKELET DİĞER KANEPE KNP005 2 KULAK YARMASIZ (ARYA)</t>
  </si>
  <si>
    <t>YM İSKELET DİĞER KANEPE KNP006 YATAY SIRT YARMA (KEOPS)</t>
  </si>
  <si>
    <t>YM İSKELET DİĞER KANEPE KNP007 DİKEY SIRT YARMA (LOLA)</t>
  </si>
  <si>
    <t>YM İSKELET DİĞER KANEPE KNP008 2 KULAK YARMALI (VALENJE)</t>
  </si>
  <si>
    <t>YM İSKELET DİĞER KANEPE KNP009 180LİK YARMASIZ SAĞ KULAK</t>
  </si>
  <si>
    <t>YM İSKELET DİĞER KANEPE KNP010 180LİK YARMASIZ SOL KULAK</t>
  </si>
  <si>
    <t>YM İSKELET DİĞER KANEPE KNP011 140LIK</t>
  </si>
  <si>
    <t>YM İSKELET DİĞER KANEPE KNP012 ESPAÇOS</t>
  </si>
  <si>
    <t>YM İSKELET DİĞER KANEPE KNP013 HELİOS 3LÜ</t>
  </si>
  <si>
    <t>YM İSKELET DİĞER KANEPE KNP014 HELİOS 2Lİ</t>
  </si>
  <si>
    <t>YM İSKELET DİĞER KANEPE MARİO 3LÜ</t>
  </si>
  <si>
    <t>YM İSKELET DİĞER KOL K001 HOOPA-NOOMA (1 ADET)</t>
  </si>
  <si>
    <t>YM İSKELET DİĞER KOL K002 ARYA (1 ADET)</t>
  </si>
  <si>
    <t>YM İSKELET DİĞER KOL K003 CHESTER (1 ADET)</t>
  </si>
  <si>
    <t>YM İSKELET DİĞER KOL K004 HUGGY (1 ADET)</t>
  </si>
  <si>
    <t>YM İSKELET DİĞER KOL K005 HOLA (1 ADET)</t>
  </si>
  <si>
    <t>YM İSKELET DİĞER KOL K006 MİELES (1 ADET)</t>
  </si>
  <si>
    <t>YM İSKELET DİĞER KOL K007 LOLA (1 ADET)</t>
  </si>
  <si>
    <t>YM İSKELET DİĞER KOL K008 ALMERİA (1 ADET)</t>
  </si>
  <si>
    <t>YM İSKELET DİĞER KOL K009 MAXWELL (1 ADET)</t>
  </si>
  <si>
    <t>YM İSKELET DİĞER KOL K010 VALENJE (1 ADET)</t>
  </si>
  <si>
    <t>YM İSKELET DİĞER KOL K011 LEANA (1 ADET)</t>
  </si>
  <si>
    <t>YM İSKELET DİĞER KOL K012 KEOPS (1 ADET)</t>
  </si>
  <si>
    <t>YM İSKELET DİĞER KOL K013 BUDFY (1 ADET)</t>
  </si>
  <si>
    <t>YM İSKELET DİĞER KOL K014 LACASA (1 ADET)</t>
  </si>
  <si>
    <t>YM İSKELET DİĞER KOL TOSCA BERJER</t>
  </si>
  <si>
    <t>YM İSKELET DİĞER KOL-AYAK CLEO</t>
  </si>
  <si>
    <t>YM İSKELET DİĞER KOL-AYAK SHAGGY</t>
  </si>
  <si>
    <t>YM İSKELET DİĞER LAURA</t>
  </si>
  <si>
    <t>YM İSKELET DİĞER LİGREDO</t>
  </si>
  <si>
    <t>YM İSKELET DİĞER LONG</t>
  </si>
  <si>
    <t>YM İSKELET DİĞER LONGLİNE(BASİT KASA)</t>
  </si>
  <si>
    <t>YM İSKELET DİĞER LONNY</t>
  </si>
  <si>
    <t>YM İSKELET DİĞER LOUCA</t>
  </si>
  <si>
    <t>YM İSKELET DİĞER LULU</t>
  </si>
  <si>
    <t>YM İSKELET DİĞER MADDOX</t>
  </si>
  <si>
    <t>YM İSKELET DİĞER MARİN</t>
  </si>
  <si>
    <t>YM İSKELET DİĞER MİLLER</t>
  </si>
  <si>
    <t>YM İSKELET DİĞER MOJO BERJER</t>
  </si>
  <si>
    <t>YM İSKELET DİĞER MYLA</t>
  </si>
  <si>
    <t>YM İSKELET DİĞER NİDO BENCH</t>
  </si>
  <si>
    <t>YM İSKELET DİĞER NİDO PUF</t>
  </si>
  <si>
    <t>YM İSKELET DİĞER PUF ARES-FEYYAZ</t>
  </si>
  <si>
    <t>YM İSKELET DİĞER PUF FELİX</t>
  </si>
  <si>
    <t>YM İSKELET DİĞER REMY PUF</t>
  </si>
  <si>
    <t>YM İSKELET DİĞER RENNES</t>
  </si>
  <si>
    <t>YM İSKELET DİĞER RİCKY</t>
  </si>
  <si>
    <t>YM İSKELET DİĞER RİDGE</t>
  </si>
  <si>
    <t>YM İSKELET DİĞER RİVA</t>
  </si>
  <si>
    <t>YM İSKELET DİĞER ROLY</t>
  </si>
  <si>
    <t>YM İSKELET DİĞER ROUKA</t>
  </si>
  <si>
    <t>YM İSKELET DİĞER SHAGGY</t>
  </si>
  <si>
    <t>YM İSKELET DİĞER SHELBY</t>
  </si>
  <si>
    <t>YM İSKELET DİĞER STOOL</t>
  </si>
  <si>
    <t>YM İSKELET DİĞER TAYLOR</t>
  </si>
  <si>
    <t>YM İSKELET DİĞER TOM</t>
  </si>
  <si>
    <t>YM İSKELET DİĞER-KOL HELLAS</t>
  </si>
  <si>
    <t>YM İSKELET DİĞER-KOL MARGO</t>
  </si>
  <si>
    <t>YM İSKELET DİĞER-OTURUM MARGO</t>
  </si>
  <si>
    <t>YM İSKELET DİĞER-PETRA KOL</t>
  </si>
  <si>
    <t>YM İSKELET DİĞER-PETRA SIRT</t>
  </si>
  <si>
    <t>YM İSKELET DİĞER-PETRA TEKLİ OTURUM</t>
  </si>
  <si>
    <t>YM İSKELET DİĞER-SIRT MARGO</t>
  </si>
  <si>
    <t>YM İSKELET DİĞER-TEKLİ HELLAS</t>
  </si>
  <si>
    <t>???HM AKSESUAR DİĞER KÖŞE PLASTİĞİ ORTA</t>
  </si>
  <si>
    <t>???HM AKSESUAR DİĞER KÖŞE PLASTİĞİ YASSI</t>
  </si>
  <si>
    <t>HAHŞDGR00003</t>
  </si>
  <si>
    <t>???HM HIRDAVAT DİĞER AHŞAP BAĞLAMA KARE SAÇ M8 5*5CM</t>
  </si>
  <si>
    <t>???HM HIRDAVAT DİĞER BAŞLIK MEKANİZMASI 5 KADEMELİ</t>
  </si>
  <si>
    <t>???HM HIRDAVAT DİĞER DİŞİ KİTLEME</t>
  </si>
  <si>
    <t>???HM HIRDAVAT DİĞER KABLOSUZ ŞARJ</t>
  </si>
  <si>
    <t>???HM HIRDAVAT DİĞER KÖŞE SAÇI ÜÇGEN</t>
  </si>
  <si>
    <t>???HM HIRDAVAT DİĞER PROFİL DİŞİ KARŞILIK</t>
  </si>
  <si>
    <t>???HM HIRDAVAT YMS KÖŞE PLASTİĞİ 12*4 GOLD</t>
  </si>
  <si>
    <t>???HM HIRDAVAT YMS KÖŞE PLASTİĞİ ORTASI 12*4</t>
  </si>
  <si>
    <t>HMAHŞDGR0001</t>
  </si>
  <si>
    <t>HM AHŞAP DİĞER KARTON (1PAKET)20Lİ 13KG (1ADET=0.7M2)</t>
  </si>
  <si>
    <t>HMAHŞDGR0004</t>
  </si>
  <si>
    <t>HM AHŞAP DİĞER KAYIN-GÜRGEN KERESTE 3-4. SINIF KARIŞIK M3</t>
  </si>
  <si>
    <t>HM AHŞAP DİĞER KÖKNAR-LADİN KERESTE M3</t>
  </si>
  <si>
    <t>HMAHŞDGR0003</t>
  </si>
  <si>
    <t>HM AHŞAP DİĞER PVC BANT 0.8MM</t>
  </si>
  <si>
    <t>HMAHŞDGR0002</t>
  </si>
  <si>
    <t>HM AHŞAP DİĞER-SUNTA MDF BANDI</t>
  </si>
  <si>
    <t>HM AMBALAJ DİĞER ÇEMBER KÖŞEBENT</t>
  </si>
  <si>
    <t>HM AMBALAJ DİĞER ŞİLTE 1.5MM 160CM(TOP 200METRE)</t>
  </si>
  <si>
    <t>HM ASTAR DİĞER BASKILI DÖŞEME 140GR 160CM(1TOP=100m)KAYMAZ</t>
  </si>
  <si>
    <t>HKMŞDGR00028</t>
  </si>
  <si>
    <t>HM AYAK DİĞER AHŞAP DREAM</t>
  </si>
  <si>
    <t>HM AYAK DİĞER AHŞAP HELİOS-MOJO</t>
  </si>
  <si>
    <t>HM AYAK DİĞER PLASTİK-ARDİ ŞAHİKA KAVANOZ(BAZA AYAK) M8 10CM</t>
  </si>
  <si>
    <t>HM AYAK DİĞER PLASTİK-SEMENTA 15CM PİRİNÇ KAPLAMA-SARI ŞERİT</t>
  </si>
  <si>
    <t>HM AYAK DİĞER PLASTİK-SEMENTA 19CM PİRİNÇ KAPLAMA-SARI ŞERİT</t>
  </si>
  <si>
    <t>HM AYAK DİĞER PLASTİK-SENEM 15CM SİYAH+ALTIN ŞERİTLİ</t>
  </si>
  <si>
    <t>HM AYAK DİĞER-AHŞAP ARDİ TUANA KOL SAĞ SOL KLAPA (BOYALI) TK</t>
  </si>
  <si>
    <t>HM AYAK DİĞER-AHŞAP BERJER BAZA (BOYALI)</t>
  </si>
  <si>
    <t>HM AYAK DİĞER-AHŞAP BERJER BAZA HAM</t>
  </si>
  <si>
    <t>HM AYAK DİĞER-AHŞAP GİZLİ DESTEK 15 CM HAM</t>
  </si>
  <si>
    <t>HM AYAK DİĞER-AHŞAP GİZLİ DESTEK 19 CM HAM</t>
  </si>
  <si>
    <t>HM AYAK DİĞER-AHŞAP İSTANBUL KOL ÖN SAĞ-SOL KLAPA(BOYALI) TK</t>
  </si>
  <si>
    <t>HM AYAK DİĞER-AHŞAP KOLTUK BAZA (BOYALI)</t>
  </si>
  <si>
    <t>HM AYAK DİĞER-AHŞAP KOLTUK BAZA HAM</t>
  </si>
  <si>
    <t>HM AYAK DİĞER-AHŞAP RAİNY AYAK+SIRT MİNDERİ ÇEKT TK (BOYALI)</t>
  </si>
  <si>
    <t>HM AYAK DİĞER-METAL ELMAS GOLD-TORNA AHŞAP</t>
  </si>
  <si>
    <t>HM AYAK DİĞER-METAL ELMAS NİKEL-TORNA AHŞAP</t>
  </si>
  <si>
    <t>HM BAZA MALZEME DİĞER BAZA KULPU ŞEFFAF ELASTİK</t>
  </si>
  <si>
    <t>HKMŞKTŞ00002</t>
  </si>
  <si>
    <t>HKMŞKTŞ00001</t>
  </si>
  <si>
    <t>HM BOYA DİĞER PAMUKKALE GÜMÜŞ(ALUMİNYUM) YALDIZ</t>
  </si>
  <si>
    <t>HM CİVATA DİĞER İMBUS HAVŞA 8x60(ALYAN BAŞLI-SİYAH)</t>
  </si>
  <si>
    <t>HM CİVATA DİĞER M8x15 ANAHTAR BAŞLI(DEEPER)</t>
  </si>
  <si>
    <t>HM CİVATA DİĞER M8x25 ANAHTAR BAŞLI</t>
  </si>
  <si>
    <t>HM CİVATA DİĞER M8x40 ANAHTAR BAŞLI</t>
  </si>
  <si>
    <t>HM CİVATA DİĞER M8x50 ANAHTAR BAŞLI</t>
  </si>
  <si>
    <t>HM CİVATA DİĞER M8x60 ANAHTAR BAŞLI</t>
  </si>
  <si>
    <t>HM CİVATA DİĞER M8x70 ANAHTAR BAŞLI</t>
  </si>
  <si>
    <t>HM DEMİR DİĞER-ASUA BAZA KÖŞE APARATI(YENİ DEMONTE KOLTUK)</t>
  </si>
  <si>
    <t>HM DEMİR İNŞAAT DEMİRİ İNCE-BURGULU</t>
  </si>
  <si>
    <t>HM DEMİRBAŞ DİĞER 8MM DEWALT MANYETİK SOMUN TUTUCU LOKMA</t>
  </si>
  <si>
    <t>HMDBŞDGR0004</t>
  </si>
  <si>
    <t>HM DEMİRBAŞ DİĞER BOSCH GSB 18V DARB AKÜLÜ MATKAP</t>
  </si>
  <si>
    <t>HMDBŞDGR0001</t>
  </si>
  <si>
    <t>HM DEMİRBAŞ DİĞER BOYA TABANCASI KASSEL 4001 S 1.7LT</t>
  </si>
  <si>
    <t>HDBŞDGR00002</t>
  </si>
  <si>
    <t>HM DEMİRBAŞ DİĞER ÇEMBER ARABASI</t>
  </si>
  <si>
    <t>HM DEMİRBAŞ DİĞER HAVA TABANCASI UZUN BURUN</t>
  </si>
  <si>
    <t>HDBŞDGR00001</t>
  </si>
  <si>
    <t>HM DEMİRBAŞ DİĞER MAKİTA 3709 FORMİKA TRAŞLAMA</t>
  </si>
  <si>
    <t>HM DEMİRBAŞ DİĞER MERCURE 7.5 MT SPIRALLI HAVA HORTUMU 1 KA.</t>
  </si>
  <si>
    <t>HMDBŞDGR0002</t>
  </si>
  <si>
    <t>HM DEMİRBAŞ DİĞER RTRMAX AVUÇ TAŞLAMA 115MM RTM102 75OW</t>
  </si>
  <si>
    <t>HMDBŞDGR0003</t>
  </si>
  <si>
    <t>HM DEMİRBAŞ DİĞER-AKDENİZ ZIMBA TABANCASI</t>
  </si>
  <si>
    <t>HM ELKAMET DİĞER 44MM ELKAMET SİYAH GOLD (ŞEHZADE)</t>
  </si>
  <si>
    <t>HM ELKAMET DİĞER PVC 9MM GOLD-SİLVER YAPIŞKANLI (TRM09)</t>
  </si>
  <si>
    <t>HM ELKAMET DİĞER PVC DİKİŞ FİTİLİ STİL GOLD-SİLVERTRM164-168</t>
  </si>
  <si>
    <t>HETKKTŞ00003</t>
  </si>
  <si>
    <t>HETKKTŞ00004</t>
  </si>
  <si>
    <t>HETKKTŞ00002</t>
  </si>
  <si>
    <t>HM İPLİK DİĞER 300 NUMARA TEKSTRÜZE(YAKLAŞIK1KG=1000M)</t>
  </si>
  <si>
    <t>HİŞÇDGR00005</t>
  </si>
  <si>
    <t>HM İŞÇİLİK DİĞER CİLA MALZEME+İŞÇİLİK</t>
  </si>
  <si>
    <t>HM KANEPE MALZEME DİĞER FİTİL KÖPÜK PROFİL ŞEKİLLEN HD03-060</t>
  </si>
  <si>
    <t>HM KANEPE MALZEME DİĞER KELEPÇE SAÇI MK42 (KÖŞE TK BİRLŞTR)</t>
  </si>
  <si>
    <t>HM KANEPE MALZEME DİĞER KÖPÜK FİTİL DİLLİ PROFİL ŞE HD01-080</t>
  </si>
  <si>
    <t>HM KANEPE MALZEME DİĞER-PLS KÖŞE BİRLŞ TAKOZU TIRNAKSIZ 14CM</t>
  </si>
  <si>
    <t>HM KANEPE MALZEME DİĞER-ÜST KANEPE KÖŞE KORUYUCU</t>
  </si>
  <si>
    <t>HKMŞDGR00023</t>
  </si>
  <si>
    <t>HM KAPİTONE DİĞER-YATAK KMŞ 180G(210CM)+330GR ELY+1.6x2 SG</t>
  </si>
  <si>
    <t>HM KAPİTONE DİĞER-YATAK KMŞ 220G(210CM)+330GR ELY+1.6X2 SN</t>
  </si>
  <si>
    <t>HM KESİM DİĞER SUNTA MDF KESİM (ŞİLA-LOUCA KAFA)</t>
  </si>
  <si>
    <t>HMKMŞDGR0017</t>
  </si>
  <si>
    <t>HM KUMAŞ DİĞER ALTUN BRODE BORA KAZAYAĞI (2.60$)</t>
  </si>
  <si>
    <t>HMKMŞDGR0033</t>
  </si>
  <si>
    <t>HMKMŞDGR0032</t>
  </si>
  <si>
    <t>HM KUMAŞ DİĞER ALTUN BRODE WOLF(TEDY) (3.50$)</t>
  </si>
  <si>
    <t>HKMŞDGR00017</t>
  </si>
  <si>
    <t>HM KUMAŞ DİĞER AYNALI DERİ GOLD-GÜMÜŞ</t>
  </si>
  <si>
    <t>HMKMŞDGR0010</t>
  </si>
  <si>
    <t>HMKMŞDGR0001</t>
  </si>
  <si>
    <t>HM KUMAŞ DİĞER BELETTE VELÜR-BUKLE-TEDY(5.15$)</t>
  </si>
  <si>
    <t>HMKMŞDGR0007</t>
  </si>
  <si>
    <t>HM KUMAŞ DİĞER BİLGE DOQU (3.55 $)</t>
  </si>
  <si>
    <t>HMKMŞDGR0009</t>
  </si>
  <si>
    <t>HM KUMAŞ DİĞER BİLGE ZEN(2.68 $)</t>
  </si>
  <si>
    <t>HKMŞDGR00011</t>
  </si>
  <si>
    <t>HM KUMAŞ DİĞER EVİPEK DOLCE VITA 11-13-16-3</t>
  </si>
  <si>
    <t>HKMŞDGR00018</t>
  </si>
  <si>
    <t>HM KUMAŞ DİĞER EVİPEK LUXURY 129-133</t>
  </si>
  <si>
    <t>HKMŞDGR00014</t>
  </si>
  <si>
    <t>HM KUMAŞ DİĞER EVİPEK LUXURY 27-33</t>
  </si>
  <si>
    <t>HKMŞDGR00013</t>
  </si>
  <si>
    <t>HM KUMAŞ DİĞER EVİPEK LUXURY 4-11-27</t>
  </si>
  <si>
    <t>HKMŞDGR00012</t>
  </si>
  <si>
    <t>HM KUMAŞ DİĞER EVİPEK YORK 18-19</t>
  </si>
  <si>
    <t>HMKMŞDGR0020</t>
  </si>
  <si>
    <t>HM KUMAŞ DİĞER FORTEKS AYA FR</t>
  </si>
  <si>
    <t>HMKMŞDGR0023</t>
  </si>
  <si>
    <t>HM KUMAŞ DİĞER FORTEKS BEYAZIT 015</t>
  </si>
  <si>
    <t>HMKMŞDGR0018</t>
  </si>
  <si>
    <t>HM KUMAŞ DİĞER FORTEKS BOMONTİ</t>
  </si>
  <si>
    <t>HMKMŞDGR0022</t>
  </si>
  <si>
    <t>HM KUMAŞ DİĞER FORTEKS FATİH 010</t>
  </si>
  <si>
    <t>HMKMŞDGR0003</t>
  </si>
  <si>
    <t>HM KUMAŞ DİĞER FORTEKS HEYBELİ</t>
  </si>
  <si>
    <t>HMKMŞDGR0019</t>
  </si>
  <si>
    <t>HM KUMAŞ DİĞER FORTEKS PİYALE</t>
  </si>
  <si>
    <t>HMKMŞDGR0031</t>
  </si>
  <si>
    <t>HM KUMAŞ DİĞER HANEDAN DESENLİ V01</t>
  </si>
  <si>
    <t>HMKMŞDGR0027</t>
  </si>
  <si>
    <t>HM KUMAŞ DİĞER HANEDAN V-01</t>
  </si>
  <si>
    <t>HMKMŞDGR0026</t>
  </si>
  <si>
    <t>HM KUMAŞ DİĞER HANEDAN V-04</t>
  </si>
  <si>
    <t>HMKMŞDGR0025</t>
  </si>
  <si>
    <t>HM KUMAŞ DİĞER HANEDAN V-11</t>
  </si>
  <si>
    <t>HMKMŞDGR0028</t>
  </si>
  <si>
    <t>HMKMŞDGR0030</t>
  </si>
  <si>
    <t>HM KUMAŞ DİĞER NİLSA SUZAN V3 ZİGZAG DESEN SARI</t>
  </si>
  <si>
    <t>HKMŞDGR00015</t>
  </si>
  <si>
    <t>HM KUMAŞ DİĞER NUPELLA ARON</t>
  </si>
  <si>
    <t>HKMŞDGR00016</t>
  </si>
  <si>
    <t>HM KUMAŞ DİĞER NUPELLA İGA POLAR</t>
  </si>
  <si>
    <t>HKMŞDGR00019</t>
  </si>
  <si>
    <t>HM KUMAŞ DİĞER NUPELLA İGA TSİ</t>
  </si>
  <si>
    <t>HMKMŞDGR0015</t>
  </si>
  <si>
    <t>HM KUMAŞ DİĞER NUPELLA LOTUS</t>
  </si>
  <si>
    <t>HMKMŞDGR0016</t>
  </si>
  <si>
    <t>HM KUMAŞ DİĞER NUPELLA PARMA</t>
  </si>
  <si>
    <t>HMKMŞDGR0011</t>
  </si>
  <si>
    <t>HM KUMAŞ DİĞER NUPELLA RONDA</t>
  </si>
  <si>
    <t>HKMŞDGR00020</t>
  </si>
  <si>
    <t>HM KUMAŞ DİĞER NUPELLA TRENTO</t>
  </si>
  <si>
    <t>HMKMŞDGR0004</t>
  </si>
  <si>
    <t>HM KUMAŞ DİĞER PALA BODRUM-NEVİZADE SUNİ DERİ</t>
  </si>
  <si>
    <t>HMKMŞDGR0034</t>
  </si>
  <si>
    <t>HM KUMAŞ DİĞER PALA CİTY(DÜZ DOKUMA)</t>
  </si>
  <si>
    <t>HMKMŞDGR0035</t>
  </si>
  <si>
    <t>HM KUMAŞ DİĞER PALA MANCHESTER(ÇİZGİLİ DOKUMA)</t>
  </si>
  <si>
    <t>HKMŞDGR00006</t>
  </si>
  <si>
    <t>HM KUMAŞ DİĞER SERİ SONU</t>
  </si>
  <si>
    <t>HKMŞDGR00033</t>
  </si>
  <si>
    <t>HM KUMAŞ DİĞER ŞALTEX CLARA(2.60 DOLAR)</t>
  </si>
  <si>
    <t>HMKMŞDGR0006</t>
  </si>
  <si>
    <t>HM KUMAŞ DİĞER WELSOFT (1M2=0.28KG)</t>
  </si>
  <si>
    <t>HMKMŞDGR0029</t>
  </si>
  <si>
    <t>HM KUMAŞ DİĞER WELSOFT JAKARLI (1M2=0.28KG)</t>
  </si>
  <si>
    <t>HKMŞYLM00004</t>
  </si>
  <si>
    <t>HM KUMAŞ DİĞER YILMAZ BELETTE MİLANO(3.78$)</t>
  </si>
  <si>
    <t>HKMŞDGR00035</t>
  </si>
  <si>
    <t>HM KUMAŞ DİĞER YILMAZ BELETTE STELLA (3.888 $)</t>
  </si>
  <si>
    <t>HKMŞDGR00030</t>
  </si>
  <si>
    <t>HKMŞDGR00031</t>
  </si>
  <si>
    <t>HM KUMAŞ DİĞER YILMAZ BELETTE WESTOR KAZAYAĞI(3.942$)</t>
  </si>
  <si>
    <t>HKMŞDGR00034</t>
  </si>
  <si>
    <t>HKMŞDGR00007</t>
  </si>
  <si>
    <t>HM KUMAŞ DİĞER YILMAZ MARS ASOS BASKILI</t>
  </si>
  <si>
    <t>HM KUMAŞ DİĞER YILMAZ MARS ROYAL NAPOLİ V06 ZİNCİR(4.968$)</t>
  </si>
  <si>
    <t>HKMŞYLM00003</t>
  </si>
  <si>
    <t>HM KUMAŞ DİĞER YILMAZ MARS VENÜS B.A</t>
  </si>
  <si>
    <t>HMKMŞDGR0012</t>
  </si>
  <si>
    <t>HM KUMAŞ DİĞER-KAÇAR PASTO</t>
  </si>
  <si>
    <t>HMKMŞDGR0013</t>
  </si>
  <si>
    <t>HM KUMAŞ DİĞER-KAÇAR SUMMER</t>
  </si>
  <si>
    <t>HMKMŞDGR0014</t>
  </si>
  <si>
    <t>HM KUMAŞ DİĞER-KAPİTONE LONGLİNE</t>
  </si>
  <si>
    <t>HKMŞDGR00038</t>
  </si>
  <si>
    <t>HM KUMAŞ YILMAZ PLATİN -BİLGE ROYAL-SİYAH BEYAZ ÇİZGİLİ</t>
  </si>
  <si>
    <t>HM MEKANİZMA DİĞER-KOLTUK TS-61 6 KADEMELİ KOL BAŞLIK</t>
  </si>
  <si>
    <t>HAHŞBRL00001</t>
  </si>
  <si>
    <t>HAHŞÖZÇ00003</t>
  </si>
  <si>
    <t>HAHŞÖZÇ00006</t>
  </si>
  <si>
    <t>HAHŞÖZÇ00004</t>
  </si>
  <si>
    <t>HAHŞDGR00005</t>
  </si>
  <si>
    <t>HAHŞÖZÇ00001</t>
  </si>
  <si>
    <t>HAHŞDGR00007</t>
  </si>
  <si>
    <t>HAHŞDGR00008</t>
  </si>
  <si>
    <t>HAHŞDGR00009</t>
  </si>
  <si>
    <t>HM SARF MALZEME DİĞER KAYNAK TÜPÜ ARC012 KARIŞIM 11.29M3</t>
  </si>
  <si>
    <t>HM SARF MALZEME DİĞER KAYNAK TÜPÜ ARCO 12 KARIŞIM 6.87M3</t>
  </si>
  <si>
    <t>HM SARF MALZEME DİĞER SİLİKON ŞEFFAF</t>
  </si>
  <si>
    <t>HM SOMUN DİĞER M8 FLAŞLI PERÇİN TIRTILLI</t>
  </si>
  <si>
    <t>HKMŞDGR00009</t>
  </si>
  <si>
    <t>HM VİDA DİĞER-AHŞAP 3.5x30 (PAKET=1000ADET)</t>
  </si>
  <si>
    <t>HM VİDA DİĞER-AHŞAP 3.5x40 (PAKET=500 ADET)</t>
  </si>
  <si>
    <t>HM VİDA DİĞER-AHŞAP 4x18 (PAKET=1000AD)</t>
  </si>
  <si>
    <t>HM VİDA DİĞER-AHŞAP 5x30(PAKET=200ADET)</t>
  </si>
  <si>
    <t>HM VİDA DİĞER-AHŞAP 5x40(1 PAKET=200 ADET)</t>
  </si>
  <si>
    <t>HM VİDA DİĞER-AHŞAP 5x60</t>
  </si>
  <si>
    <t>HM VİDA DİĞER-AHŞAP 5x70 (1 PAKET=200 ADET)</t>
  </si>
  <si>
    <t>HM YAPIŞTIRICI DİĞER AHŞAP ŞEFFAF TUTKAL</t>
  </si>
  <si>
    <t>HM YAPIŞTIRICI DİĞER HIZLI YAPIŞTIRICI (SPREY)</t>
  </si>
  <si>
    <t>HKMŞOZY00001</t>
  </si>
  <si>
    <t>HMKMŞDGR0002</t>
  </si>
  <si>
    <t>HM-KUMAŞ DİĞER BİLGE MAVANTİ</t>
  </si>
  <si>
    <t>KOLİ DİĞER ŞEHZADE KOLİSİ</t>
  </si>
  <si>
    <t>KOLİ DİĞER ŞİLA KOLİSİ</t>
  </si>
  <si>
    <t>MM İSKELET DİĞER-KOL MARGO(DÖŞENMİŞ)</t>
  </si>
  <si>
    <t>MM İSKELET DİĞER-LİLY KOL (DÖŞENMİŞ) MODÜL</t>
  </si>
  <si>
    <t>MM İSKELET DİĞER-LİLY OTURUM (DÖŞENMİŞ) KULAKLI MODÜL</t>
  </si>
  <si>
    <t>MM İSKELET DİĞER-LİLY SIRT(DÖŞENMİŞ) MODÜL</t>
  </si>
  <si>
    <t>MM İSKELET DİĞER-OTURUM MARGO 2Lİ KANEPE (DÖŞENMİŞ) MODÜL</t>
  </si>
  <si>
    <t>MM İSKELET DİĞER-OTURUM MARGO KÖŞE(DÖŞENMİŞ) MODÜL</t>
  </si>
  <si>
    <t>MM İSKELET DİĞER-PETRA KOL(DÖŞENMİŞ) MODÜL</t>
  </si>
  <si>
    <t>MM İSKELET DİĞER-PETRA SIRT(DÖŞENMİŞ) MODÜL</t>
  </si>
  <si>
    <t>MM İSKELET DİĞER-PETRA TEKLİ OTURUM(DÖŞENMİŞ) MODÜL</t>
  </si>
  <si>
    <t>MM İSKELET DİĞER-SIRT MARGO(DÖŞENMİŞ)</t>
  </si>
  <si>
    <t>MM KIRLENT DİĞER-MARGO 40X40(ZİNCİR KUMAŞ)</t>
  </si>
  <si>
    <t>HMKMŞDGR0024</t>
  </si>
  <si>
    <t>ÖZEL SİPARİŞ KUMAŞ</t>
  </si>
  <si>
    <t>YM AYAK DİĞER AHŞAP HELİOS-MOJO</t>
  </si>
  <si>
    <t>YM AYAK DİĞER GİGİ-ŞİLA METAL-ALTIN</t>
  </si>
  <si>
    <t>YM İSKELET DİĞER KÖŞE KŞ001 KALIN SOL (HOOPA)</t>
  </si>
  <si>
    <t>YM İSKELET DİĞER KÖŞE KŞ002 KALIN SAĞ (HOOPA)</t>
  </si>
  <si>
    <t>YM İSKELET DİĞER KÖŞE KŞ003 İNCE SOL (HUGGY)</t>
  </si>
  <si>
    <t>YM İSKELET DİĞER KÖŞE KŞ004 İNCE SAĞ (HUGGY)</t>
  </si>
  <si>
    <t>YM İSKELET DİĞER KÖŞE KŞ005 KALIN SOL KOL (ARYA ...)</t>
  </si>
  <si>
    <t>YM İSKELET DİĞER KÖŞE KŞ006 KALIN SAĞ KOL (ARYA...)</t>
  </si>
  <si>
    <t>YM İSKELET DİĞER KÖŞE KŞ007 140LIK</t>
  </si>
  <si>
    <t>YM İSKELET DİĞER KÖŞE KŞ008 HELİOS</t>
  </si>
  <si>
    <t>YM İSKELET DİĞER KÖŞE KŞ009 DÜZ(MİELES-CHESTER...)</t>
  </si>
  <si>
    <t>YM İSKELET DİĞER ŞEHZADE</t>
  </si>
  <si>
    <t>YM İSKELET DİĞER ŞİLA-LOUCA</t>
  </si>
  <si>
    <t>HAHŞBRL00002</t>
  </si>
  <si>
    <t>HM PANEL DİĞER 18MM HAM MDF M3</t>
  </si>
  <si>
    <t>HAHŞBRL00003</t>
  </si>
  <si>
    <t>HM PANEL DİĞER 18MM HAM MDF M4</t>
  </si>
  <si>
    <t>B NAYLON</t>
  </si>
  <si>
    <t>HM KUMAŞ DİĞER BİLGE BABYFACE(3.15 $) (örnek    kumaşşşşşşşşş)</t>
  </si>
  <si>
    <t>HMHRDDGR0001</t>
  </si>
  <si>
    <t>HMAYADGR0018</t>
  </si>
  <si>
    <t>HM AYAK DİĞER AHŞAP TORNA 18CM (MODENA)</t>
  </si>
  <si>
    <t>HMAYADGR0021</t>
  </si>
  <si>
    <t>HM AYAK DİĞER AHŞAP TORNA 25CM( TOSCA BERJER)</t>
  </si>
  <si>
    <t>HMAYADGR0019</t>
  </si>
  <si>
    <t>HM AYAK DİĞER MİSLİNE KAPSÜL KULAKLI 18CM AÇIK KÜBİK CEVİZ</t>
  </si>
  <si>
    <t>HMAYADGR0020</t>
  </si>
  <si>
    <t>HM AYAK DİĞER PLASTİK BİNGO M8 İLKA ve AYAK SACI</t>
  </si>
  <si>
    <t>HMBYODGR0009</t>
  </si>
  <si>
    <t>HM CİVATA DİĞER 1/4x30 YB KASA BEYAZ (KG/0.0075=ADET)</t>
  </si>
  <si>
    <t>HM CİVATA DİĞER M8x100 SAPLAMA (30kg=1005 ADET) 10CM</t>
  </si>
  <si>
    <t>HMDMRDGR0004</t>
  </si>
  <si>
    <t>HM DEMİR DİĞER ASUA MİAZZO 17X1.5CM 2MM SANDALYE SACI</t>
  </si>
  <si>
    <t>HMKMŞDGR0036</t>
  </si>
  <si>
    <t>HM KUMAŞ DİĞER YILMAZ CENOVA</t>
  </si>
  <si>
    <t>HM MEKANİZMA BÜYÜK JAPON MEK 3 KADEMELİ SIRT TERS MAKAS MK46</t>
  </si>
  <si>
    <t>HM PUL/RONDELA DİĞER M8 VE 5/16 (1kg=167 ADET)</t>
  </si>
  <si>
    <t>HMSRFDGR0020</t>
  </si>
  <si>
    <t>HMSOMDGR0002</t>
  </si>
  <si>
    <t>HM SOMUN DİĞER ŞEFFAF KELEBEK ÇEKTİRME(BAĞLANTI)</t>
  </si>
  <si>
    <t>HMVDADGR0008</t>
  </si>
  <si>
    <t>HM VİDA DİĞER M8x20 YHB(TORNAVİDA) KAFA 2CM</t>
  </si>
  <si>
    <t>HMVDADGR0007</t>
  </si>
  <si>
    <t>HM VİDA DİĞER M8x40 YHB(TORNAVİDA) KAFA 4CM</t>
  </si>
  <si>
    <t>HMVDADGR0006</t>
  </si>
  <si>
    <t>HM VİDA DİĞER M8x60 YHB(TORNAVİDA) KAFA 6CM</t>
  </si>
  <si>
    <t>KANEPE MALZEME DİĞER METAL VİDA KAPAMA 15MM KROM(DREAM KOL)</t>
  </si>
  <si>
    <t>HMİSKDGR0131</t>
  </si>
  <si>
    <t>MM KOL MODÜL DİĞER MODENA</t>
  </si>
  <si>
    <t>10KŞTZEM0065</t>
  </si>
  <si>
    <t>MM KÖŞE MODÜL ZEM MODENA</t>
  </si>
  <si>
    <t>HMİSKDGR0130</t>
  </si>
  <si>
    <t>YM İSKELET DİĞER KANEPE MODENA 2Lİ</t>
  </si>
  <si>
    <t>YM İSKELET DİĞER KOL K015 HELİOS-MODENA(1ADET)</t>
  </si>
  <si>
    <t>HMİSKDGR0132</t>
  </si>
  <si>
    <t>YM İSKELET DİĞER KÖŞE MODENA</t>
  </si>
  <si>
    <t>YM İSKELET DİĞER-LİLY KOL</t>
  </si>
  <si>
    <t>YM İSKELET DİĞER-LİLY OTURUM</t>
  </si>
  <si>
    <t>YM İSKELET DİĞER-LİLY SIRT</t>
  </si>
  <si>
    <t>?????????HM HIRDAVAT DİĞER KÖŞE BİRLEŞTİRİCİ TİMSAH METAL</t>
  </si>
  <si>
    <t>HMÇASDGR0001</t>
  </si>
  <si>
    <t>ÇAMAŞIR SEPETİ ZEM FODEN TEKLİ 100CM SEPET+2 AHŞAP RAF</t>
  </si>
  <si>
    <t>HM AHŞAP DİĞER KARTON (1PAKET)25Lİ 13KG (1ADET=0.7M2)</t>
  </si>
  <si>
    <t>HM AHŞAP DİĞER KAVALE</t>
  </si>
  <si>
    <t>HMAMBDGR0011</t>
  </si>
  <si>
    <t>HM AMBALAJ DİĞER 340x2200MM KARTON-KANEPE KORUMA SIRT</t>
  </si>
  <si>
    <t>HM AMBALAJ DİĞER 370x2200MM KARTON-KANEPE KORUMA OTURUM</t>
  </si>
  <si>
    <t>HMAMBDGR0012</t>
  </si>
  <si>
    <t>HM AMBALAJ DİĞER ÇUVAL(TALAŞ-ODUN)</t>
  </si>
  <si>
    <t>HMAMBDGR0015</t>
  </si>
  <si>
    <t>HM AMBALAJ DİĞER GÜN NAYLON TORBA 100x200 (1KG=6AD) (BOBO)</t>
  </si>
  <si>
    <t>HMAMBDGR0013</t>
  </si>
  <si>
    <t>HM AMBALAJ DİĞER GÜN NAYLON TORBA 45x100 (1KG=30 AD) (MEYRA)</t>
  </si>
  <si>
    <t>HMAMBDGR0014</t>
  </si>
  <si>
    <t>HM AMBALAJ DİĞER GÜN NAYLON TORBA 85x120 (1KG=10 AD) (MEYRA)</t>
  </si>
  <si>
    <t>HM AYAK DİĞER AHŞAP TORNA 21CM(NEPAL)</t>
  </si>
  <si>
    <t>HMAYADGR0022</t>
  </si>
  <si>
    <t>HM AYAK DİĞER AHŞAP TORNA 6x6x15 CM( LEONES)</t>
  </si>
  <si>
    <t>HMAYADGR0023</t>
  </si>
  <si>
    <t>HM AYAK DİĞER ZADE BOHEM 15CM VENEZYA</t>
  </si>
  <si>
    <t>HM BORU PROFİL 21X21x1.5 YUVARLAK</t>
  </si>
  <si>
    <t>HM BOYA DİĞER PİNOTEX POLCHEM POLTEX SİYAH 1LT</t>
  </si>
  <si>
    <t>HMBYODGR0010</t>
  </si>
  <si>
    <t>HM BOYA DİĞER POLCHEM PU.PB10.00 SİYAH BOYA LT</t>
  </si>
  <si>
    <t>HMBYODGR0011</t>
  </si>
  <si>
    <t>HM BOYA DİĞER PU.PH 61 SERTLEŞTİRİCİ LT</t>
  </si>
  <si>
    <t>HM DEMİR DİĞER ASUA AYAK BĞL.SACI N:1(GİGİ-2 DELİK)</t>
  </si>
  <si>
    <t>HMDMRDGR0008</t>
  </si>
  <si>
    <t>HM DEMİR DİĞER ASUA 2.5MM 3ADET (YATAKLI MEKANİZMA)</t>
  </si>
  <si>
    <t>HM DEMİR DİĞER ASUA 8x8 2mm (RİTA DEMİR İSKELET MAKAS BAĞL)</t>
  </si>
  <si>
    <t>HMDMRDGR0009</t>
  </si>
  <si>
    <t>HM DEMİR DİĞER ASUA DELFİ AYAK BAĞLANTI APR. 4 DELİKLİ 4X8</t>
  </si>
  <si>
    <t>HMDMRDGR0007</t>
  </si>
  <si>
    <t>HM DEMİR DİĞER ASUA DEMONTE KANEPE MAKAS BAĞLANTI SACI 6X8.5</t>
  </si>
  <si>
    <t>HMDMRDGR0005</t>
  </si>
  <si>
    <t>HM DEMİR DİĞER ASUA HARMONY 15CM-2MM DEMONTE SACI</t>
  </si>
  <si>
    <t>HM DEMİR DİĞER ASUA HARMONY 20CM-2MM DEMONTE SACI</t>
  </si>
  <si>
    <t>HMDMRDGR0006</t>
  </si>
  <si>
    <t>HM DEMİR DİĞER ASUA RİTA KANEPE U AYAK BĞLN PRÇ(1.5MM)</t>
  </si>
  <si>
    <t>HMDMRDGR0010</t>
  </si>
  <si>
    <t>HM DEMİR DİĞER SAC TABLA 10x10 (LEONES AYAK BAĞLANTI)</t>
  </si>
  <si>
    <t>HMDBŞDGR0006</t>
  </si>
  <si>
    <t>HM DEMİRBAŞ DİĞER METRE</t>
  </si>
  <si>
    <t>HMDBŞDGR0005</t>
  </si>
  <si>
    <t>HM DEMİRBAŞ DİĞER NAİL 18-50 BRAD (F) ÇİVİ TABANCASI</t>
  </si>
  <si>
    <t>HM HIRDAVAT DİĞER TATU 1/4 DİŞİ UÇ</t>
  </si>
  <si>
    <t>HM HIRDAVAT DİĞER TATU 10LUK HORTUM GÖVDE</t>
  </si>
  <si>
    <t>HMHRDDGR0002</t>
  </si>
  <si>
    <t>HM HIRDAVAT DİĞER YAPRAK MENTEŞE 1840/2.5</t>
  </si>
  <si>
    <t>HMHRDDGR0003</t>
  </si>
  <si>
    <t>HM HIRDAVAT DİĞER ZADE BAĞLANTI RAYI(ÇAMAŞIR SEPETİ)</t>
  </si>
  <si>
    <t>HM İŞÇİLİK DİĞER B-kullanma</t>
  </si>
  <si>
    <t>HMKNMDGR0010</t>
  </si>
  <si>
    <t>HM KANEPE MALZEME DİĞER FERMUAR KÜRSÖRÜ T/10 POLY. BEYAZ</t>
  </si>
  <si>
    <t>HM KANEPE MALZEME DİĞER FERMUAR T/10 POLYESTER BEYAZ 16GR</t>
  </si>
  <si>
    <t>HMKNMDGR0009</t>
  </si>
  <si>
    <t>HM KANEPE MALZEME DİĞER METAL DÖNER MEK. ÇEMBERLİ SİYA(75cm)</t>
  </si>
  <si>
    <t>HMKNMDGR0008</t>
  </si>
  <si>
    <t>HM KANEPE MALZEME DİĞER TİMSAH METAL BİRLEŞTİRİCİ(KANEPE)</t>
  </si>
  <si>
    <t>HMKNMDGR0007</t>
  </si>
  <si>
    <t>HM KANEPE MALZEME DİĞER ZADE OYUNCAK SEPETİ</t>
  </si>
  <si>
    <t>HM KUMAŞ DİĞER ALTUN-SUNAN LTC BASE KETEN(3.15$- 210CM EN)</t>
  </si>
  <si>
    <t>HM KUMAŞ DİĞER BELETTE PELUŞ(8.40$)</t>
  </si>
  <si>
    <t>HM KUMAŞ DİĞER BELETTE ROSS (6.60$)</t>
  </si>
  <si>
    <t>HMKMŞDGR0038</t>
  </si>
  <si>
    <t>HM KUMAŞ DİĞER CIRT 5CM EN</t>
  </si>
  <si>
    <t>HMKMŞDGR0039</t>
  </si>
  <si>
    <t>HM KUMAŞ DİĞER FORTEKS DİBEK 110 (9.02$)</t>
  </si>
  <si>
    <t>HMKMŞDGR0040</t>
  </si>
  <si>
    <t>HM KUMAŞ DİĞER JÜT-TELHİZ BEZİ</t>
  </si>
  <si>
    <t>HM KUMAŞ DİĞER MAZZ COCO ASTARLI (6.49$)</t>
  </si>
  <si>
    <t>HM KUMAŞ DİĞER YILMAZ BELETTE SOLE(3.40$)</t>
  </si>
  <si>
    <t>HM KUMAŞ DİĞER YILMAZ BELETTE WESTOR İNTERNO(2.30$) -ZEUGMA</t>
  </si>
  <si>
    <t>HMPRFDGR0009</t>
  </si>
  <si>
    <t>HM KUTU PROFİL DİĞER 10x10x1</t>
  </si>
  <si>
    <t>HMMBYDGR0001</t>
  </si>
  <si>
    <t>HM MAKİNE BAKIM YEDEK PARÇA DİĞER METE ELMAS TEST BİLEME</t>
  </si>
  <si>
    <t>HMMBYDGR0002</t>
  </si>
  <si>
    <t>HM MAKİNE BAKIM YEDEK PARÇA DİĞER METE ŞERİT BİLEME</t>
  </si>
  <si>
    <t>HMMBYDGR0003</t>
  </si>
  <si>
    <t>HM MAKİNE YEDEK PARÇA BAKIM DİĞER METE WOODMİZER BİLEME</t>
  </si>
  <si>
    <t>HMMKZDGR0003</t>
  </si>
  <si>
    <t>HM MEKANİZMA DİĞER KOYO KADEMELİ KATLAMA(14 KADEME)</t>
  </si>
  <si>
    <t>HMMKZDGR0004</t>
  </si>
  <si>
    <t>HM MEKANİZMA DİĞER SIRT MEKANİZMASI 2 KADEMELİ MK05</t>
  </si>
  <si>
    <t>HM PANEL DİĞER 30MM HAM MDF M2</t>
  </si>
  <si>
    <t>HM PANEL DİĞER 5MM MDF TEK YÜZ BEYAZ M2</t>
  </si>
  <si>
    <t>HM PANEL DİĞER 8MM MDFLAM ÇİFTYÜZ RENKLİ M2</t>
  </si>
  <si>
    <t>HMPNLDGR0004</t>
  </si>
  <si>
    <t>HM PANEL DİĞER OSB 11MM 122x244 SETBORD</t>
  </si>
  <si>
    <t>HMSRFDGR0021</t>
  </si>
  <si>
    <t>HM SARF MALZEME DİĞER CIRTLI DİSK ZIMPARA 115x80</t>
  </si>
  <si>
    <t>HM SARF MALZEME DİĞER MASTER PH3*25 2.5CM BİTS MATKAP UCU</t>
  </si>
  <si>
    <t>HMSOMDGR0003</t>
  </si>
  <si>
    <t>HM SOMUN DİĞER M5 FİBERLİ</t>
  </si>
  <si>
    <t>HMSNRDGR0002</t>
  </si>
  <si>
    <t>HM SÜNGER DİĞER HR 3035 DANSTE M3</t>
  </si>
  <si>
    <t>HMSNRDGR0003</t>
  </si>
  <si>
    <t>HM SÜNGER DİĞER HR 3545 DANSTE M3</t>
  </si>
  <si>
    <t>HMVDADGR0009</t>
  </si>
  <si>
    <t>HM VİDA DİĞER M5x30 HB İMBUS BEYAZ</t>
  </si>
  <si>
    <t>HM VİDA DİĞER-AHŞAP 3.5x50 (1PAKET=500 ADET)</t>
  </si>
  <si>
    <t>HM VİDA DİĞER-AHŞAP 4x40 (PAKET=500 ADET)</t>
  </si>
  <si>
    <t>HMZMBDGR0002</t>
  </si>
  <si>
    <t>HM ZIMBA TELİ DİĞER F-50 BRAD ÇİVİ</t>
  </si>
  <si>
    <t>HM ZIMBA TELİ DİĞER ST50 ÇİVİ (1000 ADET)</t>
  </si>
  <si>
    <t>HMKMŞDGR0037</t>
  </si>
  <si>
    <t>HMİSKDGR0135</t>
  </si>
  <si>
    <t>YM İSKELET DİĞER KANEPE 175LİK YARMASIZ (DEMONTE)</t>
  </si>
  <si>
    <t>HMİSKDGR0134</t>
  </si>
  <si>
    <t>YM İSKELET DİĞER KANEPE NEPAL 3LÜ</t>
  </si>
  <si>
    <t>HMİSKDGR0133</t>
  </si>
  <si>
    <t>YM İSKELET DİĞER KOL NEPAL</t>
  </si>
  <si>
    <t>HMİSKDGR0137</t>
  </si>
  <si>
    <t>YM İSKELET DİĞER KOL RİTA KANEPE</t>
  </si>
  <si>
    <t>HMİSKDGR0136</t>
  </si>
  <si>
    <t>YM İSKELET DİĞER RİTA KANEPE</t>
  </si>
  <si>
    <t>HMAMBDGR0018</t>
  </si>
  <si>
    <t>HM AMBALAJ DİĞER 395x2100MM KARTON-KANEPE KORUMA LEONES</t>
  </si>
  <si>
    <t>HMAMBDGR0017</t>
  </si>
  <si>
    <t>HM AMBALAJ DİĞER 505x15500MM KARTON-KANEPE KORUMA LEONES</t>
  </si>
  <si>
    <t>HMAMBDGR0016</t>
  </si>
  <si>
    <t>HM AMBALAJ DİĞER EYMER 5MM KÖPÜK KÖŞEBENT V50/8 PE PRF 200CM</t>
  </si>
  <si>
    <t>HM AYAK DİĞER PLASTİK PABUÇ BÜYÜK ÇİVİLİ AYAK(BAZA AYAĞI)</t>
  </si>
  <si>
    <t>HMAYADGR0024</t>
  </si>
  <si>
    <t>HM AYAK DİĞER ZADE BOHEM 19CM VENEZYA</t>
  </si>
  <si>
    <t>HMAYADGR0025</t>
  </si>
  <si>
    <t>HM AYAK DİĞER ZADE KULAKLI BOHEM 15CM VENEZYA</t>
  </si>
  <si>
    <t>HM DEMİR DİĞER YILMAZ SAC TABLA 7x7 (LEONES)</t>
  </si>
  <si>
    <t>HMKNMDGR0011</t>
  </si>
  <si>
    <t>HM KANEPE MALZEME DİĞER PAPEL BERJER</t>
  </si>
  <si>
    <t>HM KESİM DİĞER TÜM ÜRÜNLER</t>
  </si>
  <si>
    <t>HM KUMAŞ DİĞER DOKUMAŞ FABRİC PUFFY KALIN 1171 KREM</t>
  </si>
  <si>
    <t>HM SARF MALZEME DİĞER ÇİZGİ-KRET BUHAR TAŞI</t>
  </si>
  <si>
    <t>Listenen Kayİt Sayİsİ : 668</t>
  </si>
  <si>
    <t>HMELVDGR0001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</si>
</sst>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00"/>
  </numFmts>
  <fonts count="9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0"/>
      <color rgb="FF000000"/>
      <name val="Tahoma"/>
      <family val="2"/>
      <charset val="162"/>
    </font>
    <font>
      <sz val="10"/>
      <color theme="1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sz val="9"/>
      <color rgb="FF000000"/>
      <name val="Tahoma"/>
      <family val="2"/>
      <charset val="162"/>
    </font>
    <font>
      <sz val="7.5"/>
      <color rgb="FF000000"/>
      <name val="Tahoma"/>
      <family val="2"/>
      <charset val="162"/>
    </font>
    <font>
      <sz val="7.5"/>
      <color rgb="FFFFFFFF"/>
      <name val="Tahoma"/>
      <family val="2"/>
      <charset val="162"/>
    </font>
    <font>
      <sz val="11"/>
      <color rgb="FF000000"/>
      <name val="Calibri"/>
      <family val="2"/>
      <charset val="16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6" borderId="0" xfId="0" applyFont="1" applyFill="1" applyBorder="1" applyAlignment="1">
      <alignment horizontal="left" vertical="top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right" vertical="top"/>
    </xf>
    <xf numFmtId="0" fontId="1" fillId="3" borderId="0" xfId="0" applyFont="1" applyFill="1" applyBorder="1" applyAlignment="1">
      <alignment horizontal="left" vertical="top"/>
    </xf>
    <xf numFmtId="0" fontId="1" fillId="5" borderId="0" xfId="0" applyFont="1" applyFill="1" applyBorder="1" applyAlignment="1">
      <alignment horizontal="left" vertical="top"/>
    </xf>
    <xf numFmtId="0" fontId="1" fillId="4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0" fillId="0" borderId="0" xfId="0" applyFill="1" applyBorder="1"/>
    <xf numFmtId="0" fontId="0" fillId="0" borderId="0" xfId="0" applyBorder="1"/>
    <xf numFmtId="0" fontId="0" fillId="8" borderId="0" xfId="0" applyFill="1" applyBorder="1"/>
    <xf numFmtId="0" fontId="0" fillId="4" borderId="0" xfId="0" applyFill="1" applyBorder="1"/>
    <xf numFmtId="0" fontId="0" fillId="3" borderId="0" xfId="0" applyFill="1" applyBorder="1"/>
    <xf numFmtId="0" fontId="0" fillId="5" borderId="0" xfId="0" applyFill="1" applyBorder="1"/>
    <xf numFmtId="0" fontId="0" fillId="6" borderId="0" xfId="0" applyFill="1" applyBorder="1"/>
    <xf numFmtId="164" fontId="0" fillId="0" borderId="0" xfId="0" applyNumberFormat="1" applyBorder="1"/>
    <xf numFmtId="0" fontId="1" fillId="6" borderId="0" xfId="0" applyFont="1" applyFill="1" applyBorder="1"/>
    <xf numFmtId="0" fontId="1" fillId="0" borderId="0" xfId="0" applyFont="1" applyBorder="1"/>
    <xf numFmtId="0" fontId="1" fillId="2" borderId="0" xfId="0" applyFont="1" applyFill="1" applyBorder="1" applyAlignment="1">
      <alignment horizontal="left" vertical="top"/>
    </xf>
    <xf numFmtId="0" fontId="0" fillId="7" borderId="0" xfId="0" applyFill="1" applyBorder="1"/>
    <xf numFmtId="0" fontId="0" fillId="9" borderId="0" xfId="0" applyFill="1" applyBorder="1"/>
    <xf numFmtId="2" fontId="0" fillId="0" borderId="0" xfId="0" applyNumberFormat="1" applyBorder="1"/>
    <xf numFmtId="9" fontId="0" fillId="0" borderId="0" xfId="0" applyNumberFormat="1" applyBorder="1"/>
    <xf numFmtId="2" fontId="0" fillId="9" borderId="0" xfId="0" applyNumberFormat="1" applyFill="1" applyBorder="1"/>
    <xf numFmtId="164" fontId="0" fillId="9" borderId="0" xfId="0" applyNumberFormat="1" applyFill="1" applyBorder="1"/>
    <xf numFmtId="164" fontId="0" fillId="0" borderId="0" xfId="0" applyNumberFormat="1" applyFill="1" applyBorder="1"/>
    <xf numFmtId="165" fontId="0" fillId="0" borderId="0" xfId="0" applyNumberFormat="1" applyBorder="1"/>
    <xf numFmtId="0" fontId="2" fillId="2" borderId="1" xfId="0" applyFont="1" applyFill="1" applyBorder="1" applyAlignment="1">
      <alignment horizontal="left" vertical="top"/>
    </xf>
    <xf numFmtId="0" fontId="3" fillId="0" borderId="0" xfId="0" applyFont="1"/>
    <xf numFmtId="0" fontId="2" fillId="2" borderId="0" xfId="0" applyFont="1" applyFill="1" applyBorder="1" applyAlignment="1">
      <alignment horizontal="left" vertical="top"/>
    </xf>
    <xf numFmtId="0" fontId="2" fillId="10" borderId="1" xfId="0" applyFont="1" applyFill="1" applyBorder="1" applyAlignment="1">
      <alignment horizontal="left" vertical="top"/>
    </xf>
    <xf numFmtId="0" fontId="0" fillId="10" borderId="0" xfId="0" applyFill="1" applyBorder="1"/>
    <xf numFmtId="2" fontId="0" fillId="10" borderId="0" xfId="0" applyNumberFormat="1" applyFill="1" applyBorder="1"/>
    <xf numFmtId="164" fontId="3" fillId="0" borderId="0" xfId="0" applyNumberFormat="1" applyFont="1"/>
    <xf numFmtId="0" fontId="1" fillId="10" borderId="0" xfId="0" applyFont="1" applyFill="1" applyBorder="1" applyAlignment="1">
      <alignment horizontal="left" vertical="top"/>
    </xf>
    <xf numFmtId="164" fontId="0" fillId="10" borderId="0" xfId="0" applyNumberFormat="1" applyFill="1" applyBorder="1"/>
    <xf numFmtId="0" fontId="4" fillId="10" borderId="0" xfId="0" applyFont="1" applyFill="1" applyBorder="1" applyAlignment="1">
      <alignment horizontal="left" vertical="top"/>
    </xf>
    <xf numFmtId="2" fontId="0" fillId="0" borderId="0" xfId="0" applyNumberFormat="1" applyFill="1" applyBorder="1"/>
    <xf numFmtId="0" fontId="2" fillId="1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5" fillId="10" borderId="0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2" fontId="0" fillId="4" borderId="0" xfId="0" applyNumberFormat="1" applyFill="1" applyBorder="1"/>
    <xf numFmtId="9" fontId="0" fillId="4" borderId="0" xfId="0" applyNumberFormat="1" applyFill="1" applyBorder="1"/>
    <xf numFmtId="0" fontId="6" fillId="11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left" vertical="top"/>
    </xf>
    <xf numFmtId="0" fontId="7" fillId="12" borderId="1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2" fontId="0" fillId="0" borderId="0" xfId="0" applyNumberFormat="1" applyFont="1" applyFill="1" applyBorder="1"/>
    <xf numFmtId="9" fontId="0" fillId="0" borderId="0" xfId="0" applyNumberFormat="1" applyFill="1" applyBorder="1"/>
    <xf numFmtId="0" fontId="4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left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70"/>
  <sheetViews>
    <sheetView workbookViewId="0">
      <selection sqref="A1:XFD1048576"/>
    </sheetView>
  </sheetViews>
  <sheetFormatPr defaultRowHeight="15"/>
  <cols>
    <col min="1" max="1" width="12" bestFit="1" customWidth="1"/>
    <col min="2" max="2" width="53" bestFit="1" customWidth="1"/>
  </cols>
  <sheetData>
    <row r="1" spans="1:2">
      <c r="A1" s="44" t="s">
        <v>143</v>
      </c>
      <c r="B1" s="44" t="s">
        <v>469</v>
      </c>
    </row>
    <row r="2" spans="1:2" s="52" customFormat="1">
      <c r="A2" s="45" t="s">
        <v>639</v>
      </c>
      <c r="B2" s="45" t="s">
        <v>1281</v>
      </c>
    </row>
    <row r="3" spans="1:2" s="52" customFormat="1">
      <c r="A3" s="45" t="s">
        <v>144</v>
      </c>
      <c r="B3" s="45" t="s">
        <v>621</v>
      </c>
    </row>
    <row r="4" spans="1:2" s="52" customFormat="1">
      <c r="A4" s="45" t="s">
        <v>145</v>
      </c>
      <c r="B4" s="45" t="s">
        <v>622</v>
      </c>
    </row>
    <row r="5" spans="1:2" s="52" customFormat="1">
      <c r="A5" s="45" t="s">
        <v>146</v>
      </c>
      <c r="B5" s="45" t="s">
        <v>997</v>
      </c>
    </row>
    <row r="6" spans="1:2" s="52" customFormat="1">
      <c r="A6" s="45" t="s">
        <v>147</v>
      </c>
      <c r="B6" s="45" t="s">
        <v>998</v>
      </c>
    </row>
    <row r="7" spans="1:2" s="52" customFormat="1">
      <c r="A7" s="45" t="s">
        <v>148</v>
      </c>
      <c r="B7" s="45" t="s">
        <v>623</v>
      </c>
    </row>
    <row r="8" spans="1:2" s="52" customFormat="1">
      <c r="A8" s="45" t="s">
        <v>149</v>
      </c>
      <c r="B8" s="45" t="s">
        <v>624</v>
      </c>
    </row>
    <row r="9" spans="1:2" s="52" customFormat="1">
      <c r="A9" s="45" t="s">
        <v>150</v>
      </c>
      <c r="B9" s="45" t="s">
        <v>625</v>
      </c>
    </row>
    <row r="10" spans="1:2" s="52" customFormat="1">
      <c r="A10" s="45" t="s">
        <v>151</v>
      </c>
      <c r="B10" s="45" t="s">
        <v>626</v>
      </c>
    </row>
    <row r="11" spans="1:2" s="52" customFormat="1">
      <c r="A11" s="45" t="s">
        <v>152</v>
      </c>
      <c r="B11" s="45" t="s">
        <v>627</v>
      </c>
    </row>
    <row r="12" spans="1:2" s="52" customFormat="1">
      <c r="A12" s="45" t="s">
        <v>153</v>
      </c>
      <c r="B12" s="45" t="s">
        <v>628</v>
      </c>
    </row>
    <row r="13" spans="1:2" s="52" customFormat="1">
      <c r="A13" s="45" t="s">
        <v>154</v>
      </c>
      <c r="B13" s="45" t="s">
        <v>629</v>
      </c>
    </row>
    <row r="14" spans="1:2" s="52" customFormat="1">
      <c r="A14" s="45" t="s">
        <v>155</v>
      </c>
      <c r="B14" s="45" t="s">
        <v>630</v>
      </c>
    </row>
    <row r="15" spans="1:2" s="52" customFormat="1">
      <c r="A15" s="45" t="s">
        <v>156</v>
      </c>
      <c r="B15" s="45" t="s">
        <v>631</v>
      </c>
    </row>
    <row r="16" spans="1:2" s="52" customFormat="1">
      <c r="A16" s="45" t="s">
        <v>157</v>
      </c>
      <c r="B16" s="45" t="s">
        <v>632</v>
      </c>
    </row>
    <row r="17" spans="1:2" s="52" customFormat="1">
      <c r="A17" s="45" t="s">
        <v>158</v>
      </c>
      <c r="B17" s="45" t="s">
        <v>470</v>
      </c>
    </row>
    <row r="18" spans="1:2" s="52" customFormat="1">
      <c r="A18" s="45" t="s">
        <v>159</v>
      </c>
      <c r="B18" s="45" t="s">
        <v>633</v>
      </c>
    </row>
    <row r="19" spans="1:2" s="52" customFormat="1">
      <c r="A19" s="45" t="s">
        <v>160</v>
      </c>
      <c r="B19" s="45" t="s">
        <v>634</v>
      </c>
    </row>
    <row r="20" spans="1:2" s="52" customFormat="1">
      <c r="A20" s="45" t="s">
        <v>161</v>
      </c>
      <c r="B20" s="45" t="s">
        <v>635</v>
      </c>
    </row>
    <row r="21" spans="1:2" s="52" customFormat="1">
      <c r="A21" s="45" t="s">
        <v>162</v>
      </c>
      <c r="B21" s="45" t="s">
        <v>636</v>
      </c>
    </row>
    <row r="22" spans="1:2" s="52" customFormat="1">
      <c r="A22" s="45" t="s">
        <v>999</v>
      </c>
      <c r="B22" s="45" t="s">
        <v>1000</v>
      </c>
    </row>
    <row r="23" spans="1:2" s="52" customFormat="1">
      <c r="A23" s="45" t="s">
        <v>163</v>
      </c>
      <c r="B23" s="45" t="s">
        <v>1001</v>
      </c>
    </row>
    <row r="24" spans="1:2" s="52" customFormat="1">
      <c r="A24" s="45" t="s">
        <v>164</v>
      </c>
      <c r="B24" s="45" t="s">
        <v>637</v>
      </c>
    </row>
    <row r="25" spans="1:2" s="52" customFormat="1">
      <c r="A25" s="45" t="s">
        <v>165</v>
      </c>
      <c r="B25" s="45" t="s">
        <v>1002</v>
      </c>
    </row>
    <row r="26" spans="1:2" s="52" customFormat="1">
      <c r="A26" s="45" t="s">
        <v>166</v>
      </c>
      <c r="B26" s="45" t="s">
        <v>1003</v>
      </c>
    </row>
    <row r="27" spans="1:2" s="52" customFormat="1">
      <c r="A27" s="45" t="s">
        <v>167</v>
      </c>
      <c r="B27" s="45" t="s">
        <v>1004</v>
      </c>
    </row>
    <row r="28" spans="1:2" s="52" customFormat="1">
      <c r="A28" s="45" t="s">
        <v>168</v>
      </c>
      <c r="B28" s="45" t="s">
        <v>640</v>
      </c>
    </row>
    <row r="29" spans="1:2" s="52" customFormat="1">
      <c r="A29" s="45" t="s">
        <v>169</v>
      </c>
      <c r="B29" s="45" t="s">
        <v>641</v>
      </c>
    </row>
    <row r="30" spans="1:2" s="52" customFormat="1">
      <c r="A30" s="45" t="s">
        <v>170</v>
      </c>
      <c r="B30" s="45" t="s">
        <v>642</v>
      </c>
    </row>
    <row r="31" spans="1:2" s="52" customFormat="1">
      <c r="A31" s="45" t="s">
        <v>171</v>
      </c>
      <c r="B31" s="45" t="s">
        <v>643</v>
      </c>
    </row>
    <row r="32" spans="1:2" s="52" customFormat="1">
      <c r="A32" s="45" t="s">
        <v>172</v>
      </c>
      <c r="B32" s="45" t="s">
        <v>1005</v>
      </c>
    </row>
    <row r="33" spans="1:2" s="52" customFormat="1">
      <c r="A33" s="45" t="s">
        <v>173</v>
      </c>
      <c r="B33" s="45" t="s">
        <v>644</v>
      </c>
    </row>
    <row r="34" spans="1:2" s="52" customFormat="1">
      <c r="A34" s="45" t="s">
        <v>174</v>
      </c>
      <c r="B34" s="45" t="s">
        <v>645</v>
      </c>
    </row>
    <row r="35" spans="1:2" s="52" customFormat="1">
      <c r="A35" s="45" t="s">
        <v>175</v>
      </c>
      <c r="B35" s="45" t="s">
        <v>646</v>
      </c>
    </row>
    <row r="36" spans="1:2" s="52" customFormat="1">
      <c r="A36" s="45" t="s">
        <v>176</v>
      </c>
      <c r="B36" s="45" t="s">
        <v>647</v>
      </c>
    </row>
    <row r="37" spans="1:2" s="52" customFormat="1">
      <c r="A37" s="45" t="s">
        <v>177</v>
      </c>
      <c r="B37" s="45" t="s">
        <v>648</v>
      </c>
    </row>
    <row r="38" spans="1:2" s="52" customFormat="1">
      <c r="A38" s="45" t="s">
        <v>178</v>
      </c>
      <c r="B38" s="45" t="s">
        <v>649</v>
      </c>
    </row>
    <row r="39" spans="1:2" s="52" customFormat="1">
      <c r="A39" s="45" t="s">
        <v>179</v>
      </c>
      <c r="B39" s="45" t="s">
        <v>650</v>
      </c>
    </row>
    <row r="40" spans="1:2" s="52" customFormat="1">
      <c r="A40" s="45" t="s">
        <v>180</v>
      </c>
      <c r="B40" s="45" t="s">
        <v>651</v>
      </c>
    </row>
    <row r="41" spans="1:2" s="52" customFormat="1">
      <c r="A41" s="45" t="s">
        <v>181</v>
      </c>
      <c r="B41" s="45" t="s">
        <v>1006</v>
      </c>
    </row>
    <row r="42" spans="1:2" s="52" customFormat="1">
      <c r="A42" s="45" t="s">
        <v>182</v>
      </c>
      <c r="B42" s="45" t="s">
        <v>1007</v>
      </c>
    </row>
    <row r="43" spans="1:2" s="52" customFormat="1">
      <c r="A43" s="45" t="s">
        <v>183</v>
      </c>
      <c r="B43" s="45" t="s">
        <v>652</v>
      </c>
    </row>
    <row r="44" spans="1:2" s="52" customFormat="1">
      <c r="A44" s="45" t="s">
        <v>184</v>
      </c>
      <c r="B44" s="45" t="s">
        <v>471</v>
      </c>
    </row>
    <row r="45" spans="1:2" s="52" customFormat="1">
      <c r="A45" s="45" t="s">
        <v>185</v>
      </c>
      <c r="B45" s="45" t="s">
        <v>653</v>
      </c>
    </row>
    <row r="46" spans="1:2" s="52" customFormat="1">
      <c r="A46" s="45" t="s">
        <v>186</v>
      </c>
      <c r="B46" s="45" t="s">
        <v>654</v>
      </c>
    </row>
    <row r="47" spans="1:2" s="52" customFormat="1">
      <c r="A47" s="45" t="s">
        <v>187</v>
      </c>
      <c r="B47" s="45" t="s">
        <v>655</v>
      </c>
    </row>
    <row r="48" spans="1:2" s="52" customFormat="1">
      <c r="A48" s="45" t="s">
        <v>188</v>
      </c>
      <c r="B48" s="45" t="s">
        <v>656</v>
      </c>
    </row>
    <row r="49" spans="1:2" s="52" customFormat="1">
      <c r="A49" s="45" t="s">
        <v>189</v>
      </c>
      <c r="B49" s="45" t="s">
        <v>657</v>
      </c>
    </row>
    <row r="50" spans="1:2" s="52" customFormat="1">
      <c r="A50" s="45" t="s">
        <v>190</v>
      </c>
      <c r="B50" s="45" t="s">
        <v>658</v>
      </c>
    </row>
    <row r="51" spans="1:2" s="52" customFormat="1">
      <c r="A51" s="45" t="s">
        <v>1282</v>
      </c>
      <c r="B51" s="45" t="s">
        <v>1283</v>
      </c>
    </row>
    <row r="52" spans="1:2" s="52" customFormat="1">
      <c r="A52" s="45" t="s">
        <v>1008</v>
      </c>
      <c r="B52" s="45" t="s">
        <v>1284</v>
      </c>
    </row>
    <row r="53" spans="1:2" s="52" customFormat="1">
      <c r="A53" s="45" t="s">
        <v>32</v>
      </c>
      <c r="B53" s="45" t="s">
        <v>33</v>
      </c>
    </row>
    <row r="54" spans="1:2" s="52" customFormat="1">
      <c r="A54" s="45" t="s">
        <v>1010</v>
      </c>
      <c r="B54" s="45" t="s">
        <v>1285</v>
      </c>
    </row>
    <row r="55" spans="1:2" s="52" customFormat="1">
      <c r="A55" s="45" t="s">
        <v>191</v>
      </c>
      <c r="B55" s="45" t="s">
        <v>1011</v>
      </c>
    </row>
    <row r="56" spans="1:2" s="52" customFormat="1">
      <c r="A56" s="45" t="s">
        <v>192</v>
      </c>
      <c r="B56" s="45" t="s">
        <v>1012</v>
      </c>
    </row>
    <row r="57" spans="1:2" s="52" customFormat="1">
      <c r="A57" s="45" t="s">
        <v>1013</v>
      </c>
      <c r="B57" s="45" t="s">
        <v>1014</v>
      </c>
    </row>
    <row r="58" spans="1:2" s="52" customFormat="1">
      <c r="A58" s="45" t="s">
        <v>1015</v>
      </c>
      <c r="B58" s="45" t="s">
        <v>1016</v>
      </c>
    </row>
    <row r="59" spans="1:2" s="52" customFormat="1">
      <c r="A59" s="45" t="s">
        <v>85</v>
      </c>
      <c r="B59" s="45" t="s">
        <v>472</v>
      </c>
    </row>
    <row r="60" spans="1:2" s="52" customFormat="1">
      <c r="A60" s="45" t="s">
        <v>193</v>
      </c>
      <c r="B60" s="45" t="s">
        <v>659</v>
      </c>
    </row>
    <row r="61" spans="1:2" s="52" customFormat="1">
      <c r="A61" s="45" t="s">
        <v>194</v>
      </c>
      <c r="B61" s="45" t="s">
        <v>660</v>
      </c>
    </row>
    <row r="62" spans="1:2" s="52" customFormat="1">
      <c r="A62" s="45" t="s">
        <v>195</v>
      </c>
      <c r="B62" s="45" t="s">
        <v>661</v>
      </c>
    </row>
    <row r="63" spans="1:2" s="52" customFormat="1">
      <c r="A63" s="45" t="s">
        <v>196</v>
      </c>
      <c r="B63" s="45" t="s">
        <v>662</v>
      </c>
    </row>
    <row r="64" spans="1:2" s="52" customFormat="1">
      <c r="A64" s="45" t="s">
        <v>197</v>
      </c>
      <c r="B64" s="45" t="s">
        <v>663</v>
      </c>
    </row>
    <row r="65" spans="1:2" s="52" customFormat="1">
      <c r="A65" s="45" t="s">
        <v>1286</v>
      </c>
      <c r="B65" s="45" t="s">
        <v>1287</v>
      </c>
    </row>
    <row r="66" spans="1:2" s="52" customFormat="1">
      <c r="A66" s="45" t="s">
        <v>93</v>
      </c>
      <c r="B66" s="45" t="s">
        <v>1288</v>
      </c>
    </row>
    <row r="67" spans="1:2" s="52" customFormat="1">
      <c r="A67" s="45" t="s">
        <v>1399</v>
      </c>
      <c r="B67" s="45" t="s">
        <v>1400</v>
      </c>
    </row>
    <row r="68" spans="1:2" s="52" customFormat="1">
      <c r="A68" s="45" t="s">
        <v>1401</v>
      </c>
      <c r="B68" s="45" t="s">
        <v>1402</v>
      </c>
    </row>
    <row r="69" spans="1:2" s="52" customFormat="1">
      <c r="A69" s="45" t="s">
        <v>81</v>
      </c>
      <c r="B69" s="45" t="s">
        <v>664</v>
      </c>
    </row>
    <row r="70" spans="1:2" s="52" customFormat="1">
      <c r="A70" s="45" t="s">
        <v>198</v>
      </c>
      <c r="B70" s="45" t="s">
        <v>665</v>
      </c>
    </row>
    <row r="71" spans="1:2" s="52" customFormat="1">
      <c r="A71" s="45" t="s">
        <v>199</v>
      </c>
      <c r="B71" s="45" t="s">
        <v>1017</v>
      </c>
    </row>
    <row r="72" spans="1:2" s="52" customFormat="1">
      <c r="A72" s="45" t="s">
        <v>1289</v>
      </c>
      <c r="B72" s="45" t="s">
        <v>1290</v>
      </c>
    </row>
    <row r="73" spans="1:2" s="52" customFormat="1">
      <c r="A73" s="45" t="s">
        <v>200</v>
      </c>
      <c r="B73" s="45" t="s">
        <v>666</v>
      </c>
    </row>
    <row r="74" spans="1:2" s="52" customFormat="1">
      <c r="A74" s="45" t="s">
        <v>201</v>
      </c>
      <c r="B74" s="45" t="s">
        <v>667</v>
      </c>
    </row>
    <row r="75" spans="1:2" s="52" customFormat="1">
      <c r="A75" s="45" t="s">
        <v>1403</v>
      </c>
      <c r="B75" s="45" t="s">
        <v>1404</v>
      </c>
    </row>
    <row r="76" spans="1:2" s="52" customFormat="1">
      <c r="A76" s="45" t="s">
        <v>1291</v>
      </c>
      <c r="B76" s="45" t="s">
        <v>1292</v>
      </c>
    </row>
    <row r="77" spans="1:2" s="52" customFormat="1">
      <c r="A77" s="45" t="s">
        <v>1293</v>
      </c>
      <c r="B77" s="45" t="s">
        <v>1294</v>
      </c>
    </row>
    <row r="78" spans="1:2" s="52" customFormat="1">
      <c r="A78" s="45" t="s">
        <v>1295</v>
      </c>
      <c r="B78" s="45" t="s">
        <v>1296</v>
      </c>
    </row>
    <row r="79" spans="1:2" s="52" customFormat="1">
      <c r="A79" s="45" t="s">
        <v>202</v>
      </c>
      <c r="B79" s="45" t="s">
        <v>668</v>
      </c>
    </row>
    <row r="80" spans="1:2" s="52" customFormat="1">
      <c r="A80" s="45" t="s">
        <v>203</v>
      </c>
      <c r="B80" s="45" t="s">
        <v>669</v>
      </c>
    </row>
    <row r="81" spans="1:2" s="52" customFormat="1">
      <c r="A81" s="45" t="s">
        <v>204</v>
      </c>
      <c r="B81" s="45" t="s">
        <v>670</v>
      </c>
    </row>
    <row r="82" spans="1:2" s="52" customFormat="1">
      <c r="A82" s="45" t="s">
        <v>205</v>
      </c>
      <c r="B82" s="45" t="s">
        <v>671</v>
      </c>
    </row>
    <row r="83" spans="1:2" s="52" customFormat="1">
      <c r="A83" s="45" t="s">
        <v>206</v>
      </c>
      <c r="B83" s="45" t="s">
        <v>672</v>
      </c>
    </row>
    <row r="84" spans="1:2" s="52" customFormat="1">
      <c r="A84" s="45" t="s">
        <v>207</v>
      </c>
      <c r="B84" s="45" t="s">
        <v>673</v>
      </c>
    </row>
    <row r="85" spans="1:2" s="52" customFormat="1">
      <c r="A85" s="45" t="s">
        <v>83</v>
      </c>
      <c r="B85" s="45" t="s">
        <v>84</v>
      </c>
    </row>
    <row r="86" spans="1:2" s="52" customFormat="1">
      <c r="A86" s="45" t="s">
        <v>208</v>
      </c>
      <c r="B86" s="45" t="s">
        <v>1018</v>
      </c>
    </row>
    <row r="87" spans="1:2" s="52" customFormat="1">
      <c r="A87" s="45" t="s">
        <v>209</v>
      </c>
      <c r="B87" s="45" t="s">
        <v>1019</v>
      </c>
    </row>
    <row r="88" spans="1:2" s="52" customFormat="1">
      <c r="A88" s="45" t="s">
        <v>128</v>
      </c>
      <c r="B88" s="45" t="s">
        <v>674</v>
      </c>
    </row>
    <row r="89" spans="1:2" s="52" customFormat="1">
      <c r="A89" s="45" t="s">
        <v>21</v>
      </c>
      <c r="B89" s="45" t="s">
        <v>127</v>
      </c>
    </row>
    <row r="90" spans="1:2" s="52" customFormat="1">
      <c r="A90" s="45" t="s">
        <v>1020</v>
      </c>
      <c r="B90" s="45" t="s">
        <v>675</v>
      </c>
    </row>
    <row r="91" spans="1:2" s="52" customFormat="1">
      <c r="A91" s="45" t="s">
        <v>210</v>
      </c>
      <c r="B91" s="45" t="s">
        <v>676</v>
      </c>
    </row>
    <row r="92" spans="1:2" s="52" customFormat="1">
      <c r="A92" s="45" t="s">
        <v>211</v>
      </c>
      <c r="B92" s="45" t="s">
        <v>677</v>
      </c>
    </row>
    <row r="93" spans="1:2" s="52" customFormat="1">
      <c r="A93" s="45" t="s">
        <v>212</v>
      </c>
      <c r="B93" s="45" t="s">
        <v>213</v>
      </c>
    </row>
    <row r="94" spans="1:2" s="52" customFormat="1">
      <c r="A94" s="45" t="s">
        <v>214</v>
      </c>
      <c r="B94" s="45" t="s">
        <v>1021</v>
      </c>
    </row>
    <row r="95" spans="1:2" s="52" customFormat="1">
      <c r="A95" s="45" t="s">
        <v>215</v>
      </c>
      <c r="B95" s="45" t="s">
        <v>1022</v>
      </c>
    </row>
    <row r="96" spans="1:2" s="52" customFormat="1">
      <c r="A96" s="45" t="s">
        <v>1242</v>
      </c>
      <c r="B96" s="45" t="s">
        <v>1243</v>
      </c>
    </row>
    <row r="97" spans="1:2" s="52" customFormat="1">
      <c r="A97" s="45" t="s">
        <v>1244</v>
      </c>
      <c r="B97" s="45" t="s">
        <v>1297</v>
      </c>
    </row>
    <row r="98" spans="1:2" s="52" customFormat="1">
      <c r="A98" s="45" t="s">
        <v>216</v>
      </c>
      <c r="B98" s="45" t="s">
        <v>1245</v>
      </c>
    </row>
    <row r="99" spans="1:2" s="52" customFormat="1">
      <c r="A99" s="45" t="s">
        <v>1298</v>
      </c>
      <c r="B99" s="45" t="s">
        <v>1299</v>
      </c>
    </row>
    <row r="100" spans="1:2" s="52" customFormat="1">
      <c r="A100" s="45" t="s">
        <v>217</v>
      </c>
      <c r="B100" s="45" t="s">
        <v>678</v>
      </c>
    </row>
    <row r="101" spans="1:2" s="52" customFormat="1">
      <c r="A101" s="45" t="s">
        <v>1246</v>
      </c>
      <c r="B101" s="45" t="s">
        <v>1247</v>
      </c>
    </row>
    <row r="102" spans="1:2" s="52" customFormat="1">
      <c r="A102" s="45" t="s">
        <v>218</v>
      </c>
      <c r="B102" s="45" t="s">
        <v>679</v>
      </c>
    </row>
    <row r="103" spans="1:2" s="52" customFormat="1">
      <c r="A103" s="45" t="s">
        <v>219</v>
      </c>
      <c r="B103" s="45" t="s">
        <v>680</v>
      </c>
    </row>
    <row r="104" spans="1:2" s="52" customFormat="1">
      <c r="A104" s="45" t="s">
        <v>1248</v>
      </c>
      <c r="B104" s="45" t="s">
        <v>1249</v>
      </c>
    </row>
    <row r="105" spans="1:2" s="52" customFormat="1">
      <c r="A105" s="45" t="s">
        <v>220</v>
      </c>
      <c r="B105" s="45" t="s">
        <v>1405</v>
      </c>
    </row>
    <row r="106" spans="1:2" s="52" customFormat="1">
      <c r="A106" s="45" t="s">
        <v>221</v>
      </c>
      <c r="B106" s="45" t="s">
        <v>1023</v>
      </c>
    </row>
    <row r="107" spans="1:2" s="52" customFormat="1">
      <c r="A107" s="45" t="s">
        <v>222</v>
      </c>
      <c r="B107" s="45" t="s">
        <v>681</v>
      </c>
    </row>
    <row r="108" spans="1:2" s="52" customFormat="1">
      <c r="A108" s="45" t="s">
        <v>223</v>
      </c>
      <c r="B108" s="45" t="s">
        <v>682</v>
      </c>
    </row>
    <row r="109" spans="1:2" s="52" customFormat="1">
      <c r="A109" s="45" t="s">
        <v>224</v>
      </c>
      <c r="B109" s="45" t="s">
        <v>683</v>
      </c>
    </row>
    <row r="110" spans="1:2" s="52" customFormat="1">
      <c r="A110" s="45" t="s">
        <v>225</v>
      </c>
      <c r="B110" s="45" t="s">
        <v>684</v>
      </c>
    </row>
    <row r="111" spans="1:2" s="52" customFormat="1">
      <c r="A111" s="45" t="s">
        <v>226</v>
      </c>
      <c r="B111" s="45" t="s">
        <v>685</v>
      </c>
    </row>
    <row r="112" spans="1:2" s="52" customFormat="1">
      <c r="A112" s="45" t="s">
        <v>227</v>
      </c>
      <c r="B112" s="45" t="s">
        <v>686</v>
      </c>
    </row>
    <row r="113" spans="1:2" s="52" customFormat="1">
      <c r="A113" s="45" t="s">
        <v>228</v>
      </c>
      <c r="B113" s="45" t="s">
        <v>687</v>
      </c>
    </row>
    <row r="114" spans="1:2" s="52" customFormat="1">
      <c r="A114" s="45" t="s">
        <v>91</v>
      </c>
      <c r="B114" s="45" t="s">
        <v>92</v>
      </c>
    </row>
    <row r="115" spans="1:2" s="52" customFormat="1">
      <c r="A115" s="45" t="s">
        <v>229</v>
      </c>
      <c r="B115" s="45" t="s">
        <v>688</v>
      </c>
    </row>
    <row r="116" spans="1:2" s="52" customFormat="1">
      <c r="A116" s="45" t="s">
        <v>230</v>
      </c>
      <c r="B116" s="45" t="s">
        <v>689</v>
      </c>
    </row>
    <row r="117" spans="1:2" s="52" customFormat="1">
      <c r="A117" s="45" t="s">
        <v>231</v>
      </c>
      <c r="B117" s="45" t="s">
        <v>690</v>
      </c>
    </row>
    <row r="118" spans="1:2" s="52" customFormat="1">
      <c r="A118" s="45" t="s">
        <v>232</v>
      </c>
      <c r="B118" s="45" t="s">
        <v>691</v>
      </c>
    </row>
    <row r="119" spans="1:2" s="52" customFormat="1">
      <c r="A119" s="45" t="s">
        <v>233</v>
      </c>
      <c r="B119" s="45" t="s">
        <v>692</v>
      </c>
    </row>
    <row r="120" spans="1:2" s="52" customFormat="1">
      <c r="A120" s="45" t="s">
        <v>234</v>
      </c>
      <c r="B120" s="45" t="s">
        <v>693</v>
      </c>
    </row>
    <row r="121" spans="1:2" s="52" customFormat="1">
      <c r="A121" s="45" t="s">
        <v>235</v>
      </c>
      <c r="B121" s="45" t="s">
        <v>694</v>
      </c>
    </row>
    <row r="122" spans="1:2" s="52" customFormat="1">
      <c r="A122" s="45" t="s">
        <v>236</v>
      </c>
      <c r="B122" s="45" t="s">
        <v>695</v>
      </c>
    </row>
    <row r="123" spans="1:2" s="52" customFormat="1">
      <c r="A123" s="45" t="s">
        <v>237</v>
      </c>
      <c r="B123" s="45" t="s">
        <v>696</v>
      </c>
    </row>
    <row r="124" spans="1:2" s="52" customFormat="1">
      <c r="A124" s="45" t="s">
        <v>238</v>
      </c>
      <c r="B124" s="45" t="s">
        <v>697</v>
      </c>
    </row>
    <row r="125" spans="1:2" s="52" customFormat="1">
      <c r="A125" s="45" t="s">
        <v>239</v>
      </c>
      <c r="B125" s="45" t="s">
        <v>698</v>
      </c>
    </row>
    <row r="126" spans="1:2" s="52" customFormat="1">
      <c r="A126" s="45" t="s">
        <v>240</v>
      </c>
      <c r="B126" s="45" t="s">
        <v>699</v>
      </c>
    </row>
    <row r="127" spans="1:2" s="52" customFormat="1">
      <c r="A127" s="45" t="s">
        <v>241</v>
      </c>
      <c r="B127" s="45" t="s">
        <v>700</v>
      </c>
    </row>
    <row r="128" spans="1:2" s="52" customFormat="1">
      <c r="A128" s="45" t="s">
        <v>242</v>
      </c>
      <c r="B128" s="45" t="s">
        <v>1024</v>
      </c>
    </row>
    <row r="129" spans="1:2" s="52" customFormat="1">
      <c r="A129" s="45" t="s">
        <v>243</v>
      </c>
      <c r="B129" s="45" t="s">
        <v>1025</v>
      </c>
    </row>
    <row r="130" spans="1:2" s="52" customFormat="1">
      <c r="A130" s="45" t="s">
        <v>244</v>
      </c>
      <c r="B130" s="45" t="s">
        <v>1026</v>
      </c>
    </row>
    <row r="131" spans="1:2" s="52" customFormat="1">
      <c r="A131" s="45" t="s">
        <v>245</v>
      </c>
      <c r="B131" s="45" t="s">
        <v>701</v>
      </c>
    </row>
    <row r="132" spans="1:2" s="52" customFormat="1">
      <c r="A132" s="45" t="s">
        <v>1300</v>
      </c>
      <c r="B132" s="45" t="s">
        <v>1301</v>
      </c>
    </row>
    <row r="133" spans="1:2" s="52" customFormat="1">
      <c r="A133" s="45" t="s">
        <v>1406</v>
      </c>
      <c r="B133" s="45" t="s">
        <v>1407</v>
      </c>
    </row>
    <row r="134" spans="1:2" s="52" customFormat="1">
      <c r="A134" s="45" t="s">
        <v>1408</v>
      </c>
      <c r="B134" s="45" t="s">
        <v>1409</v>
      </c>
    </row>
    <row r="135" spans="1:2" s="52" customFormat="1">
      <c r="A135" s="45" t="s">
        <v>246</v>
      </c>
      <c r="B135" s="45" t="s">
        <v>1027</v>
      </c>
    </row>
    <row r="136" spans="1:2" s="52" customFormat="1">
      <c r="A136" s="45" t="s">
        <v>473</v>
      </c>
      <c r="B136" s="45" t="s">
        <v>1028</v>
      </c>
    </row>
    <row r="137" spans="1:2" s="52" customFormat="1">
      <c r="A137" s="45" t="s">
        <v>247</v>
      </c>
      <c r="B137" s="45" t="s">
        <v>1029</v>
      </c>
    </row>
    <row r="138" spans="1:2" s="52" customFormat="1">
      <c r="A138" s="45" t="s">
        <v>248</v>
      </c>
      <c r="B138" s="45" t="s">
        <v>1030</v>
      </c>
    </row>
    <row r="139" spans="1:2" s="52" customFormat="1">
      <c r="A139" s="45" t="s">
        <v>249</v>
      </c>
      <c r="B139" s="45" t="s">
        <v>1031</v>
      </c>
    </row>
    <row r="140" spans="1:2" s="52" customFormat="1">
      <c r="A140" s="45" t="s">
        <v>250</v>
      </c>
      <c r="B140" s="45" t="s">
        <v>1032</v>
      </c>
    </row>
    <row r="141" spans="1:2" s="52" customFormat="1">
      <c r="A141" s="45" t="s">
        <v>474</v>
      </c>
      <c r="B141" s="45" t="s">
        <v>1033</v>
      </c>
    </row>
    <row r="142" spans="1:2" s="52" customFormat="1">
      <c r="A142" s="45" t="s">
        <v>475</v>
      </c>
      <c r="B142" s="45" t="s">
        <v>1034</v>
      </c>
    </row>
    <row r="143" spans="1:2" s="52" customFormat="1">
      <c r="A143" s="45" t="s">
        <v>251</v>
      </c>
      <c r="B143" s="45" t="s">
        <v>1035</v>
      </c>
    </row>
    <row r="144" spans="1:2" s="52" customFormat="1">
      <c r="A144" s="45" t="s">
        <v>252</v>
      </c>
      <c r="B144" s="45" t="s">
        <v>702</v>
      </c>
    </row>
    <row r="145" spans="1:2" s="52" customFormat="1">
      <c r="A145" s="45" t="s">
        <v>253</v>
      </c>
      <c r="B145" s="45" t="s">
        <v>1036</v>
      </c>
    </row>
    <row r="146" spans="1:2" s="52" customFormat="1">
      <c r="A146" s="45" t="s">
        <v>254</v>
      </c>
      <c r="B146" s="45" t="s">
        <v>1037</v>
      </c>
    </row>
    <row r="147" spans="1:2" s="52" customFormat="1">
      <c r="A147" s="45" t="s">
        <v>255</v>
      </c>
      <c r="B147" s="45" t="s">
        <v>703</v>
      </c>
    </row>
    <row r="148" spans="1:2" s="52" customFormat="1">
      <c r="A148" s="45" t="s">
        <v>256</v>
      </c>
      <c r="B148" s="45" t="s">
        <v>704</v>
      </c>
    </row>
    <row r="149" spans="1:2" s="52" customFormat="1">
      <c r="A149" s="45" t="s">
        <v>257</v>
      </c>
      <c r="B149" s="45" t="s">
        <v>705</v>
      </c>
    </row>
    <row r="150" spans="1:2" s="52" customFormat="1">
      <c r="A150" s="45" t="s">
        <v>258</v>
      </c>
      <c r="B150" s="45" t="s">
        <v>706</v>
      </c>
    </row>
    <row r="151" spans="1:2" s="52" customFormat="1">
      <c r="A151" s="45" t="s">
        <v>259</v>
      </c>
      <c r="B151" s="45" t="s">
        <v>707</v>
      </c>
    </row>
    <row r="152" spans="1:2" s="52" customFormat="1">
      <c r="A152" s="45" t="s">
        <v>260</v>
      </c>
      <c r="B152" s="45" t="s">
        <v>708</v>
      </c>
    </row>
    <row r="153" spans="1:2" s="52" customFormat="1">
      <c r="A153" s="45" t="s">
        <v>261</v>
      </c>
      <c r="B153" s="45" t="s">
        <v>709</v>
      </c>
    </row>
    <row r="154" spans="1:2" s="52" customFormat="1">
      <c r="A154" s="45" t="s">
        <v>262</v>
      </c>
      <c r="B154" s="45" t="s">
        <v>1038</v>
      </c>
    </row>
    <row r="155" spans="1:2" s="52" customFormat="1">
      <c r="A155" s="45" t="s">
        <v>263</v>
      </c>
      <c r="B155" s="45" t="s">
        <v>710</v>
      </c>
    </row>
    <row r="156" spans="1:2" s="52" customFormat="1">
      <c r="A156" s="45" t="s">
        <v>264</v>
      </c>
      <c r="B156" s="45" t="s">
        <v>711</v>
      </c>
    </row>
    <row r="157" spans="1:2" s="52" customFormat="1">
      <c r="A157" s="45" t="s">
        <v>265</v>
      </c>
      <c r="B157" s="45" t="s">
        <v>712</v>
      </c>
    </row>
    <row r="158" spans="1:2" s="52" customFormat="1">
      <c r="A158" s="45" t="s">
        <v>266</v>
      </c>
      <c r="B158" s="45" t="s">
        <v>713</v>
      </c>
    </row>
    <row r="159" spans="1:2" s="52" customFormat="1">
      <c r="A159" s="45" t="s">
        <v>267</v>
      </c>
      <c r="B159" s="45" t="s">
        <v>714</v>
      </c>
    </row>
    <row r="160" spans="1:2" s="52" customFormat="1">
      <c r="A160" s="45" t="s">
        <v>268</v>
      </c>
      <c r="B160" s="45" t="s">
        <v>715</v>
      </c>
    </row>
    <row r="161" spans="1:2" s="52" customFormat="1">
      <c r="A161" s="45" t="s">
        <v>1039</v>
      </c>
      <c r="B161" s="45" t="s">
        <v>716</v>
      </c>
    </row>
    <row r="162" spans="1:2" s="52" customFormat="1">
      <c r="A162" s="45" t="s">
        <v>1040</v>
      </c>
      <c r="B162" s="45" t="s">
        <v>717</v>
      </c>
    </row>
    <row r="163" spans="1:2" s="52" customFormat="1">
      <c r="A163" s="45" t="s">
        <v>269</v>
      </c>
      <c r="B163" s="45" t="s">
        <v>1302</v>
      </c>
    </row>
    <row r="164" spans="1:2" s="52" customFormat="1">
      <c r="A164" s="45" t="s">
        <v>270</v>
      </c>
      <c r="B164" s="45" t="s">
        <v>718</v>
      </c>
    </row>
    <row r="165" spans="1:2" s="52" customFormat="1">
      <c r="A165" s="45" t="s">
        <v>271</v>
      </c>
      <c r="B165" s="45" t="s">
        <v>719</v>
      </c>
    </row>
    <row r="166" spans="1:2" s="52" customFormat="1">
      <c r="A166" s="45" t="s">
        <v>272</v>
      </c>
      <c r="B166" s="45" t="s">
        <v>720</v>
      </c>
    </row>
    <row r="167" spans="1:2" s="52" customFormat="1">
      <c r="A167" s="45" t="s">
        <v>273</v>
      </c>
      <c r="B167" s="45" t="s">
        <v>721</v>
      </c>
    </row>
    <row r="168" spans="1:2" s="52" customFormat="1">
      <c r="A168" s="45" t="s">
        <v>274</v>
      </c>
      <c r="B168" s="45" t="s">
        <v>1041</v>
      </c>
    </row>
    <row r="169" spans="1:2" s="52" customFormat="1">
      <c r="A169" s="45" t="s">
        <v>275</v>
      </c>
      <c r="B169" s="45" t="s">
        <v>722</v>
      </c>
    </row>
    <row r="170" spans="1:2" s="52" customFormat="1">
      <c r="A170" s="45" t="s">
        <v>1250</v>
      </c>
      <c r="B170" s="45" t="s">
        <v>1303</v>
      </c>
    </row>
    <row r="171" spans="1:2" s="52" customFormat="1">
      <c r="A171" s="45" t="s">
        <v>1304</v>
      </c>
      <c r="B171" s="45" t="s">
        <v>1305</v>
      </c>
    </row>
    <row r="172" spans="1:2" s="52" customFormat="1">
      <c r="A172" s="45" t="s">
        <v>276</v>
      </c>
      <c r="B172" s="45" t="s">
        <v>723</v>
      </c>
    </row>
    <row r="173" spans="1:2" s="52" customFormat="1">
      <c r="A173" s="45" t="s">
        <v>277</v>
      </c>
      <c r="B173" s="45" t="s">
        <v>724</v>
      </c>
    </row>
    <row r="174" spans="1:2" s="52" customFormat="1">
      <c r="A174" s="45" t="s">
        <v>278</v>
      </c>
      <c r="B174" s="45" t="s">
        <v>725</v>
      </c>
    </row>
    <row r="175" spans="1:2" s="52" customFormat="1">
      <c r="A175" s="45" t="s">
        <v>279</v>
      </c>
      <c r="B175" s="45" t="s">
        <v>726</v>
      </c>
    </row>
    <row r="176" spans="1:2" s="52" customFormat="1">
      <c r="A176" s="45" t="s">
        <v>1306</v>
      </c>
      <c r="B176" s="45" t="s">
        <v>1307</v>
      </c>
    </row>
    <row r="177" spans="1:2" s="52" customFormat="1">
      <c r="A177" s="45" t="s">
        <v>280</v>
      </c>
      <c r="B177" s="45" t="s">
        <v>727</v>
      </c>
    </row>
    <row r="178" spans="1:2" s="52" customFormat="1">
      <c r="A178" s="45" t="s">
        <v>281</v>
      </c>
      <c r="B178" s="45" t="s">
        <v>728</v>
      </c>
    </row>
    <row r="179" spans="1:2" s="52" customFormat="1">
      <c r="A179" s="45" t="s">
        <v>282</v>
      </c>
      <c r="B179" s="45" t="s">
        <v>729</v>
      </c>
    </row>
    <row r="180" spans="1:2" s="52" customFormat="1">
      <c r="A180" s="45" t="s">
        <v>283</v>
      </c>
      <c r="B180" s="45" t="s">
        <v>730</v>
      </c>
    </row>
    <row r="181" spans="1:2" s="52" customFormat="1">
      <c r="A181" s="45" t="s">
        <v>284</v>
      </c>
      <c r="B181" s="45" t="s">
        <v>1251</v>
      </c>
    </row>
    <row r="182" spans="1:2" s="52" customFormat="1">
      <c r="A182" s="45" t="s">
        <v>285</v>
      </c>
      <c r="B182" s="45" t="s">
        <v>731</v>
      </c>
    </row>
    <row r="183" spans="1:2" s="52" customFormat="1">
      <c r="A183" s="45" t="s">
        <v>286</v>
      </c>
      <c r="B183" s="45" t="s">
        <v>732</v>
      </c>
    </row>
    <row r="184" spans="1:2" s="52" customFormat="1">
      <c r="A184" s="45" t="s">
        <v>287</v>
      </c>
      <c r="B184" s="45" t="s">
        <v>1042</v>
      </c>
    </row>
    <row r="185" spans="1:2" s="52" customFormat="1">
      <c r="A185" s="45" t="s">
        <v>288</v>
      </c>
      <c r="B185" s="45" t="s">
        <v>733</v>
      </c>
    </row>
    <row r="186" spans="1:2" s="52" customFormat="1">
      <c r="A186" s="45" t="s">
        <v>289</v>
      </c>
      <c r="B186" s="45" t="s">
        <v>1252</v>
      </c>
    </row>
    <row r="187" spans="1:2" s="52" customFormat="1">
      <c r="A187" s="45" t="s">
        <v>87</v>
      </c>
      <c r="B187" s="45" t="s">
        <v>88</v>
      </c>
    </row>
    <row r="188" spans="1:2" s="52" customFormat="1">
      <c r="A188" s="45" t="s">
        <v>290</v>
      </c>
      <c r="B188" s="45" t="s">
        <v>1043</v>
      </c>
    </row>
    <row r="189" spans="1:2" s="52" customFormat="1">
      <c r="A189" s="45" t="s">
        <v>291</v>
      </c>
      <c r="B189" s="45" t="s">
        <v>1044</v>
      </c>
    </row>
    <row r="190" spans="1:2" s="52" customFormat="1">
      <c r="A190" s="45" t="s">
        <v>292</v>
      </c>
      <c r="B190" s="45" t="s">
        <v>1045</v>
      </c>
    </row>
    <row r="191" spans="1:2" s="52" customFormat="1">
      <c r="A191" s="45" t="s">
        <v>293</v>
      </c>
      <c r="B191" s="45" t="s">
        <v>1046</v>
      </c>
    </row>
    <row r="192" spans="1:2" s="52" customFormat="1">
      <c r="A192" s="45" t="s">
        <v>294</v>
      </c>
      <c r="B192" s="45" t="s">
        <v>1047</v>
      </c>
    </row>
    <row r="193" spans="1:2" s="52" customFormat="1">
      <c r="A193" s="45" t="s">
        <v>295</v>
      </c>
      <c r="B193" s="45" t="s">
        <v>1048</v>
      </c>
    </row>
    <row r="194" spans="1:2" s="52" customFormat="1">
      <c r="A194" s="45" t="s">
        <v>296</v>
      </c>
      <c r="B194" s="45" t="s">
        <v>1308</v>
      </c>
    </row>
    <row r="195" spans="1:2" s="52" customFormat="1">
      <c r="A195" s="45" t="s">
        <v>1309</v>
      </c>
      <c r="B195" s="45" t="s">
        <v>1310</v>
      </c>
    </row>
    <row r="196" spans="1:2" s="52" customFormat="1">
      <c r="A196" s="45" t="s">
        <v>297</v>
      </c>
      <c r="B196" s="45" t="s">
        <v>734</v>
      </c>
    </row>
    <row r="197" spans="1:2" s="52" customFormat="1">
      <c r="A197" s="45" t="s">
        <v>298</v>
      </c>
      <c r="B197" s="45" t="s">
        <v>1311</v>
      </c>
    </row>
    <row r="198" spans="1:2" s="52" customFormat="1">
      <c r="A198" s="45" t="s">
        <v>1312</v>
      </c>
      <c r="B198" s="45" t="s">
        <v>1313</v>
      </c>
    </row>
    <row r="199" spans="1:2" s="52" customFormat="1">
      <c r="A199" s="45" t="s">
        <v>1314</v>
      </c>
      <c r="B199" s="45" t="s">
        <v>1315</v>
      </c>
    </row>
    <row r="200" spans="1:2" s="52" customFormat="1">
      <c r="A200" s="45" t="s">
        <v>1316</v>
      </c>
      <c r="B200" s="45" t="s">
        <v>1317</v>
      </c>
    </row>
    <row r="201" spans="1:2" s="52" customFormat="1">
      <c r="A201" s="45" t="s">
        <v>299</v>
      </c>
      <c r="B201" s="45" t="s">
        <v>1318</v>
      </c>
    </row>
    <row r="202" spans="1:2" s="52" customFormat="1">
      <c r="A202" s="45" t="s">
        <v>1253</v>
      </c>
      <c r="B202" s="45" t="s">
        <v>1254</v>
      </c>
    </row>
    <row r="203" spans="1:2" s="52" customFormat="1">
      <c r="A203" s="45" t="s">
        <v>1319</v>
      </c>
      <c r="B203" s="45" t="s">
        <v>1320</v>
      </c>
    </row>
    <row r="204" spans="1:2" s="52" customFormat="1">
      <c r="A204" s="45" t="s">
        <v>1321</v>
      </c>
      <c r="B204" s="45" t="s">
        <v>1322</v>
      </c>
    </row>
    <row r="205" spans="1:2" s="52" customFormat="1">
      <c r="A205" s="45" t="s">
        <v>62</v>
      </c>
      <c r="B205" s="45" t="s">
        <v>1410</v>
      </c>
    </row>
    <row r="206" spans="1:2" s="52" customFormat="1">
      <c r="A206" s="45" t="s">
        <v>300</v>
      </c>
      <c r="B206" s="45" t="s">
        <v>1049</v>
      </c>
    </row>
    <row r="207" spans="1:2" s="52" customFormat="1">
      <c r="A207" s="45" t="s">
        <v>301</v>
      </c>
      <c r="B207" s="45" t="s">
        <v>1050</v>
      </c>
    </row>
    <row r="208" spans="1:2" s="52" customFormat="1">
      <c r="A208" s="45" t="s">
        <v>302</v>
      </c>
      <c r="B208" s="45" t="s">
        <v>1051</v>
      </c>
    </row>
    <row r="209" spans="1:2" s="52" customFormat="1">
      <c r="A209" s="45" t="s">
        <v>1052</v>
      </c>
      <c r="B209" s="45" t="s">
        <v>1053</v>
      </c>
    </row>
    <row r="210" spans="1:2" s="52" customFormat="1">
      <c r="A210" s="45" t="s">
        <v>1054</v>
      </c>
      <c r="B210" s="45" t="s">
        <v>1055</v>
      </c>
    </row>
    <row r="211" spans="1:2" s="52" customFormat="1">
      <c r="A211" s="45" t="s">
        <v>1056</v>
      </c>
      <c r="B211" s="45" t="s">
        <v>1057</v>
      </c>
    </row>
    <row r="212" spans="1:2" s="52" customFormat="1">
      <c r="A212" s="45" t="s">
        <v>303</v>
      </c>
      <c r="B212" s="45" t="s">
        <v>1058</v>
      </c>
    </row>
    <row r="213" spans="1:2" s="52" customFormat="1">
      <c r="A213" s="45" t="s">
        <v>1059</v>
      </c>
      <c r="B213" s="45" t="s">
        <v>1060</v>
      </c>
    </row>
    <row r="214" spans="1:2" s="52" customFormat="1">
      <c r="A214" s="45" t="s">
        <v>304</v>
      </c>
      <c r="B214" s="45" t="s">
        <v>1061</v>
      </c>
    </row>
    <row r="215" spans="1:2" s="52" customFormat="1">
      <c r="A215" s="45" t="s">
        <v>1323</v>
      </c>
      <c r="B215" s="45" t="s">
        <v>1324</v>
      </c>
    </row>
    <row r="216" spans="1:2" s="52" customFormat="1">
      <c r="A216" s="45" t="s">
        <v>1325</v>
      </c>
      <c r="B216" s="45" t="s">
        <v>1326</v>
      </c>
    </row>
    <row r="217" spans="1:2" s="52" customFormat="1">
      <c r="A217" s="45" t="s">
        <v>1062</v>
      </c>
      <c r="B217" s="45" t="s">
        <v>1063</v>
      </c>
    </row>
    <row r="218" spans="1:2" s="52" customFormat="1">
      <c r="A218" s="45" t="s">
        <v>1064</v>
      </c>
      <c r="B218" s="45" t="s">
        <v>1065</v>
      </c>
    </row>
    <row r="219" spans="1:2" s="52" customFormat="1">
      <c r="A219" s="45" t="s">
        <v>305</v>
      </c>
      <c r="B219" s="45" t="s">
        <v>735</v>
      </c>
    </row>
    <row r="220" spans="1:2" s="52" customFormat="1">
      <c r="A220" s="45" t="s">
        <v>476</v>
      </c>
      <c r="B220" s="45" t="s">
        <v>736</v>
      </c>
    </row>
    <row r="221" spans="1:2" s="52" customFormat="1">
      <c r="A221" s="45" t="s">
        <v>306</v>
      </c>
      <c r="B221" s="45" t="s">
        <v>737</v>
      </c>
    </row>
    <row r="222" spans="1:2" s="52" customFormat="1">
      <c r="A222" s="45" t="s">
        <v>307</v>
      </c>
      <c r="B222" s="45" t="s">
        <v>738</v>
      </c>
    </row>
    <row r="223" spans="1:2" s="52" customFormat="1">
      <c r="A223" s="45" t="s">
        <v>308</v>
      </c>
      <c r="B223" s="45" t="s">
        <v>739</v>
      </c>
    </row>
    <row r="224" spans="1:2" s="52" customFormat="1">
      <c r="A224" s="45" t="s">
        <v>309</v>
      </c>
      <c r="B224" s="45" t="s">
        <v>740</v>
      </c>
    </row>
    <row r="225" spans="1:2" s="52" customFormat="1">
      <c r="A225" s="45" t="s">
        <v>310</v>
      </c>
      <c r="B225" s="45" t="s">
        <v>741</v>
      </c>
    </row>
    <row r="226" spans="1:2" s="52" customFormat="1">
      <c r="A226" s="45" t="s">
        <v>311</v>
      </c>
      <c r="B226" s="45" t="s">
        <v>742</v>
      </c>
    </row>
    <row r="227" spans="1:2" s="52" customFormat="1">
      <c r="A227" s="45" t="s">
        <v>312</v>
      </c>
      <c r="B227" s="45" t="s">
        <v>743</v>
      </c>
    </row>
    <row r="228" spans="1:2" s="52" customFormat="1">
      <c r="A228" s="45" t="s">
        <v>313</v>
      </c>
      <c r="B228" s="45" t="s">
        <v>744</v>
      </c>
    </row>
    <row r="229" spans="1:2" s="52" customFormat="1">
      <c r="A229" s="45" t="s">
        <v>314</v>
      </c>
      <c r="B229" s="45" t="s">
        <v>1066</v>
      </c>
    </row>
    <row r="230" spans="1:2" s="52" customFormat="1">
      <c r="A230" s="45" t="s">
        <v>315</v>
      </c>
      <c r="B230" s="45" t="s">
        <v>745</v>
      </c>
    </row>
    <row r="231" spans="1:2" s="52" customFormat="1">
      <c r="A231" s="45" t="s">
        <v>316</v>
      </c>
      <c r="B231" s="45" t="s">
        <v>1067</v>
      </c>
    </row>
    <row r="232" spans="1:2" s="52" customFormat="1">
      <c r="A232" s="45" t="s">
        <v>317</v>
      </c>
      <c r="B232" s="45" t="s">
        <v>1068</v>
      </c>
    </row>
    <row r="233" spans="1:2" s="52" customFormat="1">
      <c r="A233" s="45" t="s">
        <v>318</v>
      </c>
      <c r="B233" s="45" t="s">
        <v>746</v>
      </c>
    </row>
    <row r="234" spans="1:2" s="52" customFormat="1">
      <c r="A234" s="45" t="s">
        <v>25</v>
      </c>
      <c r="B234" s="45" t="s">
        <v>747</v>
      </c>
    </row>
    <row r="235" spans="1:2" s="52" customFormat="1">
      <c r="A235" s="45" t="s">
        <v>68</v>
      </c>
      <c r="B235" s="45" t="s">
        <v>69</v>
      </c>
    </row>
    <row r="236" spans="1:2" s="52" customFormat="1">
      <c r="A236" s="45" t="s">
        <v>70</v>
      </c>
      <c r="B236" s="45" t="s">
        <v>71</v>
      </c>
    </row>
    <row r="237" spans="1:2" s="52" customFormat="1">
      <c r="A237" s="45" t="s">
        <v>1069</v>
      </c>
      <c r="B237" s="45" t="s">
        <v>748</v>
      </c>
    </row>
    <row r="238" spans="1:2" s="52" customFormat="1">
      <c r="A238" s="45" t="s">
        <v>1070</v>
      </c>
      <c r="B238" s="45" t="s">
        <v>749</v>
      </c>
    </row>
    <row r="239" spans="1:2" s="52" customFormat="1">
      <c r="A239" s="45" t="s">
        <v>1071</v>
      </c>
      <c r="B239" s="45" t="s">
        <v>750</v>
      </c>
    </row>
    <row r="240" spans="1:2" s="52" customFormat="1">
      <c r="A240" s="45" t="s">
        <v>319</v>
      </c>
      <c r="B240" s="45" t="s">
        <v>751</v>
      </c>
    </row>
    <row r="241" spans="1:2" s="52" customFormat="1">
      <c r="A241" s="45" t="s">
        <v>1241</v>
      </c>
      <c r="B241" s="45" t="s">
        <v>1327</v>
      </c>
    </row>
    <row r="242" spans="1:2" s="52" customFormat="1">
      <c r="A242" s="45" t="s">
        <v>638</v>
      </c>
      <c r="B242" s="45" t="s">
        <v>1328</v>
      </c>
    </row>
    <row r="243" spans="1:2" s="52" customFormat="1">
      <c r="A243" s="45" t="s">
        <v>1329</v>
      </c>
      <c r="B243" s="45" t="s">
        <v>1330</v>
      </c>
    </row>
    <row r="244" spans="1:2" s="52" customFormat="1">
      <c r="A244" s="45" t="s">
        <v>1331</v>
      </c>
      <c r="B244" s="45" t="s">
        <v>1332</v>
      </c>
    </row>
    <row r="245" spans="1:2" s="52" customFormat="1">
      <c r="A245" s="45" t="s">
        <v>320</v>
      </c>
      <c r="B245" s="45" t="s">
        <v>752</v>
      </c>
    </row>
    <row r="246" spans="1:2" s="52" customFormat="1">
      <c r="A246" s="45" t="s">
        <v>66</v>
      </c>
      <c r="B246" s="45" t="s">
        <v>67</v>
      </c>
    </row>
    <row r="247" spans="1:2" s="52" customFormat="1">
      <c r="A247" s="45" t="s">
        <v>477</v>
      </c>
      <c r="B247" s="45" t="s">
        <v>1072</v>
      </c>
    </row>
    <row r="248" spans="1:2" s="52" customFormat="1">
      <c r="A248" s="45" t="s">
        <v>64</v>
      </c>
      <c r="B248" s="45" t="s">
        <v>65</v>
      </c>
    </row>
    <row r="249" spans="1:2" s="52" customFormat="1">
      <c r="A249" s="45" t="s">
        <v>321</v>
      </c>
      <c r="B249" s="45" t="s">
        <v>753</v>
      </c>
    </row>
    <row r="250" spans="1:2" s="52" customFormat="1">
      <c r="A250" s="45" t="s">
        <v>478</v>
      </c>
      <c r="B250" s="45" t="s">
        <v>754</v>
      </c>
    </row>
    <row r="251" spans="1:2" s="52" customFormat="1">
      <c r="A251" s="45" t="s">
        <v>479</v>
      </c>
      <c r="B251" s="45" t="s">
        <v>755</v>
      </c>
    </row>
    <row r="252" spans="1:2" s="52" customFormat="1">
      <c r="A252" s="45" t="s">
        <v>480</v>
      </c>
      <c r="B252" s="45" t="s">
        <v>756</v>
      </c>
    </row>
    <row r="253" spans="1:2" s="52" customFormat="1">
      <c r="A253" s="45" t="s">
        <v>481</v>
      </c>
      <c r="B253" s="45" t="s">
        <v>757</v>
      </c>
    </row>
    <row r="254" spans="1:2" s="52" customFormat="1">
      <c r="A254" s="45" t="s">
        <v>482</v>
      </c>
      <c r="B254" s="45" t="s">
        <v>758</v>
      </c>
    </row>
    <row r="255" spans="1:2" s="52" customFormat="1">
      <c r="A255" s="45" t="s">
        <v>483</v>
      </c>
      <c r="B255" s="45" t="s">
        <v>759</v>
      </c>
    </row>
    <row r="256" spans="1:2" s="52" customFormat="1">
      <c r="A256" s="45" t="s">
        <v>484</v>
      </c>
      <c r="B256" s="45" t="s">
        <v>760</v>
      </c>
    </row>
    <row r="257" spans="1:2" s="52" customFormat="1">
      <c r="A257" s="45" t="s">
        <v>485</v>
      </c>
      <c r="B257" s="45" t="s">
        <v>761</v>
      </c>
    </row>
    <row r="258" spans="1:2" s="52" customFormat="1">
      <c r="A258" s="45" t="s">
        <v>486</v>
      </c>
      <c r="B258" s="45" t="s">
        <v>762</v>
      </c>
    </row>
    <row r="259" spans="1:2" s="52" customFormat="1">
      <c r="A259" s="45" t="s">
        <v>487</v>
      </c>
      <c r="B259" s="45" t="s">
        <v>763</v>
      </c>
    </row>
    <row r="260" spans="1:2" s="52" customFormat="1">
      <c r="A260" s="45" t="s">
        <v>488</v>
      </c>
      <c r="B260" s="45" t="s">
        <v>764</v>
      </c>
    </row>
    <row r="261" spans="1:2" s="52" customFormat="1">
      <c r="A261" s="45" t="s">
        <v>489</v>
      </c>
      <c r="B261" s="45" t="s">
        <v>765</v>
      </c>
    </row>
    <row r="262" spans="1:2" s="52" customFormat="1">
      <c r="A262" s="45" t="s">
        <v>490</v>
      </c>
      <c r="B262" s="45" t="s">
        <v>766</v>
      </c>
    </row>
    <row r="263" spans="1:2" s="52" customFormat="1">
      <c r="A263" s="45" t="s">
        <v>491</v>
      </c>
      <c r="B263" s="45" t="s">
        <v>767</v>
      </c>
    </row>
    <row r="264" spans="1:2" s="52" customFormat="1">
      <c r="A264" s="45" t="s">
        <v>492</v>
      </c>
      <c r="B264" s="45" t="s">
        <v>768</v>
      </c>
    </row>
    <row r="265" spans="1:2" s="52" customFormat="1">
      <c r="A265" s="45" t="s">
        <v>493</v>
      </c>
      <c r="B265" s="45" t="s">
        <v>769</v>
      </c>
    </row>
    <row r="266" spans="1:2" s="52" customFormat="1">
      <c r="A266" s="45" t="s">
        <v>494</v>
      </c>
      <c r="B266" s="45" t="s">
        <v>770</v>
      </c>
    </row>
    <row r="267" spans="1:2" s="52" customFormat="1">
      <c r="A267" s="45" t="s">
        <v>495</v>
      </c>
      <c r="B267" s="45" t="s">
        <v>771</v>
      </c>
    </row>
    <row r="268" spans="1:2" s="52" customFormat="1">
      <c r="A268" s="45" t="s">
        <v>97</v>
      </c>
      <c r="B268" s="45" t="s">
        <v>1333</v>
      </c>
    </row>
    <row r="269" spans="1:2" s="52" customFormat="1">
      <c r="A269" s="45" t="s">
        <v>1073</v>
      </c>
      <c r="B269" s="45" t="s">
        <v>1074</v>
      </c>
    </row>
    <row r="270" spans="1:2" s="52" customFormat="1">
      <c r="A270" s="45" t="s">
        <v>322</v>
      </c>
      <c r="B270" s="45" t="s">
        <v>772</v>
      </c>
    </row>
    <row r="271" spans="1:2" s="52" customFormat="1">
      <c r="A271" s="45" t="s">
        <v>58</v>
      </c>
      <c r="B271" s="45" t="s">
        <v>59</v>
      </c>
    </row>
    <row r="272" spans="1:2" s="52" customFormat="1">
      <c r="A272" s="45" t="s">
        <v>1334</v>
      </c>
      <c r="B272" s="45" t="s">
        <v>1335</v>
      </c>
    </row>
    <row r="273" spans="1:2" s="52" customFormat="1">
      <c r="A273" s="45" t="s">
        <v>78</v>
      </c>
      <c r="B273" s="45" t="s">
        <v>79</v>
      </c>
    </row>
    <row r="274" spans="1:2" s="52" customFormat="1">
      <c r="A274" s="45" t="s">
        <v>76</v>
      </c>
      <c r="B274" s="45" t="s">
        <v>77</v>
      </c>
    </row>
    <row r="275" spans="1:2" s="52" customFormat="1">
      <c r="A275" s="45" t="s">
        <v>323</v>
      </c>
      <c r="B275" s="45" t="s">
        <v>1336</v>
      </c>
    </row>
    <row r="276" spans="1:2" s="52" customFormat="1">
      <c r="A276" s="45" t="s">
        <v>324</v>
      </c>
      <c r="B276" s="45" t="s">
        <v>773</v>
      </c>
    </row>
    <row r="277" spans="1:2" s="52" customFormat="1">
      <c r="A277" s="45" t="s">
        <v>325</v>
      </c>
      <c r="B277" s="45" t="s">
        <v>1075</v>
      </c>
    </row>
    <row r="278" spans="1:2" s="52" customFormat="1">
      <c r="A278" s="45" t="s">
        <v>326</v>
      </c>
      <c r="B278" s="45" t="s">
        <v>774</v>
      </c>
    </row>
    <row r="279" spans="1:2" s="52" customFormat="1">
      <c r="A279" s="45" t="s">
        <v>72</v>
      </c>
      <c r="B279" s="45" t="s">
        <v>775</v>
      </c>
    </row>
    <row r="280" spans="1:2" s="52" customFormat="1">
      <c r="A280" s="45" t="s">
        <v>327</v>
      </c>
      <c r="B280" s="45" t="s">
        <v>776</v>
      </c>
    </row>
    <row r="281" spans="1:2" s="52" customFormat="1">
      <c r="A281" s="45" t="s">
        <v>328</v>
      </c>
      <c r="B281" s="45" t="s">
        <v>1076</v>
      </c>
    </row>
    <row r="282" spans="1:2" s="52" customFormat="1">
      <c r="A282" s="45" t="s">
        <v>329</v>
      </c>
      <c r="B282" s="45" t="s">
        <v>1077</v>
      </c>
    </row>
    <row r="283" spans="1:2" s="52" customFormat="1">
      <c r="A283" s="45" t="s">
        <v>1337</v>
      </c>
      <c r="B283" s="45" t="s">
        <v>1338</v>
      </c>
    </row>
    <row r="284" spans="1:2" s="52" customFormat="1">
      <c r="A284" s="45" t="s">
        <v>1411</v>
      </c>
      <c r="B284" s="45" t="s">
        <v>1412</v>
      </c>
    </row>
    <row r="285" spans="1:2" s="52" customFormat="1">
      <c r="A285" s="45" t="s">
        <v>1339</v>
      </c>
      <c r="B285" s="45" t="s">
        <v>1340</v>
      </c>
    </row>
    <row r="286" spans="1:2" s="52" customFormat="1">
      <c r="A286" s="45" t="s">
        <v>60</v>
      </c>
      <c r="B286" s="45" t="s">
        <v>61</v>
      </c>
    </row>
    <row r="287" spans="1:2" s="52" customFormat="1">
      <c r="A287" s="45" t="s">
        <v>1341</v>
      </c>
      <c r="B287" s="45" t="s">
        <v>1342</v>
      </c>
    </row>
    <row r="288" spans="1:2" s="52" customFormat="1">
      <c r="A288" s="45" t="s">
        <v>330</v>
      </c>
      <c r="B288" s="45" t="s">
        <v>777</v>
      </c>
    </row>
    <row r="289" spans="1:2" s="52" customFormat="1">
      <c r="A289" s="45" t="s">
        <v>331</v>
      </c>
      <c r="B289" s="45" t="s">
        <v>1078</v>
      </c>
    </row>
    <row r="290" spans="1:2" s="52" customFormat="1">
      <c r="A290" s="45" t="s">
        <v>332</v>
      </c>
      <c r="B290" s="45" t="s">
        <v>1079</v>
      </c>
    </row>
    <row r="291" spans="1:2" s="52" customFormat="1">
      <c r="A291" s="45" t="s">
        <v>333</v>
      </c>
      <c r="B291" s="45" t="s">
        <v>778</v>
      </c>
    </row>
    <row r="292" spans="1:2" s="52" customFormat="1">
      <c r="A292" s="45" t="s">
        <v>1080</v>
      </c>
      <c r="B292" s="45" t="s">
        <v>1081</v>
      </c>
    </row>
    <row r="293" spans="1:2" s="52" customFormat="1">
      <c r="A293" s="45" t="s">
        <v>334</v>
      </c>
      <c r="B293" s="45" t="s">
        <v>1082</v>
      </c>
    </row>
    <row r="294" spans="1:2" s="52" customFormat="1">
      <c r="A294" s="45" t="s">
        <v>499</v>
      </c>
      <c r="B294" s="45" t="s">
        <v>779</v>
      </c>
    </row>
    <row r="295" spans="1:2" s="52" customFormat="1">
      <c r="A295" s="45" t="s">
        <v>500</v>
      </c>
      <c r="B295" s="45" t="s">
        <v>780</v>
      </c>
    </row>
    <row r="296" spans="1:2" s="52" customFormat="1">
      <c r="A296" s="45" t="s">
        <v>501</v>
      </c>
      <c r="B296" s="45" t="s">
        <v>781</v>
      </c>
    </row>
    <row r="297" spans="1:2" s="52" customFormat="1">
      <c r="A297" s="45" t="s">
        <v>502</v>
      </c>
      <c r="B297" s="45" t="s">
        <v>782</v>
      </c>
    </row>
    <row r="298" spans="1:2" s="52" customFormat="1">
      <c r="A298" s="45" t="s">
        <v>503</v>
      </c>
      <c r="B298" s="45" t="s">
        <v>783</v>
      </c>
    </row>
    <row r="299" spans="1:2" s="52" customFormat="1">
      <c r="A299" s="45" t="s">
        <v>504</v>
      </c>
      <c r="B299" s="45" t="s">
        <v>784</v>
      </c>
    </row>
    <row r="300" spans="1:2" s="52" customFormat="1">
      <c r="A300" s="45" t="s">
        <v>335</v>
      </c>
      <c r="B300" s="45" t="s">
        <v>785</v>
      </c>
    </row>
    <row r="301" spans="1:2" s="52" customFormat="1">
      <c r="A301" s="45" t="s">
        <v>505</v>
      </c>
      <c r="B301" s="45" t="s">
        <v>786</v>
      </c>
    </row>
    <row r="302" spans="1:2" s="52" customFormat="1">
      <c r="A302" s="45" t="s">
        <v>506</v>
      </c>
      <c r="B302" s="45" t="s">
        <v>787</v>
      </c>
    </row>
    <row r="303" spans="1:2" s="52" customFormat="1">
      <c r="A303" s="45" t="s">
        <v>508</v>
      </c>
      <c r="B303" s="45" t="s">
        <v>788</v>
      </c>
    </row>
    <row r="304" spans="1:2" s="52" customFormat="1">
      <c r="A304" s="45" t="s">
        <v>509</v>
      </c>
      <c r="B304" s="45" t="s">
        <v>789</v>
      </c>
    </row>
    <row r="305" spans="1:2" s="52" customFormat="1">
      <c r="A305" s="45" t="s">
        <v>510</v>
      </c>
      <c r="B305" s="45" t="s">
        <v>790</v>
      </c>
    </row>
    <row r="306" spans="1:2" s="52" customFormat="1">
      <c r="A306" s="45" t="s">
        <v>511</v>
      </c>
      <c r="B306" s="45" t="s">
        <v>791</v>
      </c>
    </row>
    <row r="307" spans="1:2" s="52" customFormat="1">
      <c r="A307" s="45" t="s">
        <v>336</v>
      </c>
      <c r="B307" s="45" t="s">
        <v>1083</v>
      </c>
    </row>
    <row r="308" spans="1:2" s="52" customFormat="1">
      <c r="A308" s="45" t="s">
        <v>337</v>
      </c>
      <c r="B308" s="45" t="s">
        <v>792</v>
      </c>
    </row>
    <row r="309" spans="1:2" s="52" customFormat="1">
      <c r="A309" s="45" t="s">
        <v>507</v>
      </c>
      <c r="B309" s="45" t="s">
        <v>1413</v>
      </c>
    </row>
    <row r="310" spans="1:2" s="52" customFormat="1">
      <c r="A310" s="45" t="s">
        <v>1084</v>
      </c>
      <c r="B310" s="45" t="s">
        <v>1085</v>
      </c>
    </row>
    <row r="311" spans="1:2" s="52" customFormat="1">
      <c r="A311" s="45" t="s">
        <v>1087</v>
      </c>
      <c r="B311" s="45" t="s">
        <v>1088</v>
      </c>
    </row>
    <row r="312" spans="1:2" s="52" customFormat="1">
      <c r="A312" s="45" t="s">
        <v>1086</v>
      </c>
      <c r="B312" s="45" t="s">
        <v>1343</v>
      </c>
    </row>
    <row r="313" spans="1:2" s="52" customFormat="1">
      <c r="A313" s="45" t="s">
        <v>13</v>
      </c>
      <c r="B313" s="45" t="s">
        <v>14</v>
      </c>
    </row>
    <row r="314" spans="1:2" s="52" customFormat="1">
      <c r="A314" s="45" t="s">
        <v>1089</v>
      </c>
      <c r="B314" s="45" t="s">
        <v>1090</v>
      </c>
    </row>
    <row r="315" spans="1:2" s="52" customFormat="1">
      <c r="A315" s="45" t="s">
        <v>11</v>
      </c>
      <c r="B315" s="45" t="s">
        <v>1344</v>
      </c>
    </row>
    <row r="316" spans="1:2" s="52" customFormat="1">
      <c r="A316" s="45" t="s">
        <v>1091</v>
      </c>
      <c r="B316" s="45" t="s">
        <v>1345</v>
      </c>
    </row>
    <row r="317" spans="1:2" s="52" customFormat="1">
      <c r="A317" s="45" t="s">
        <v>1092</v>
      </c>
      <c r="B317" s="45" t="s">
        <v>1093</v>
      </c>
    </row>
    <row r="318" spans="1:2" s="52" customFormat="1">
      <c r="A318" s="45" t="s">
        <v>7</v>
      </c>
      <c r="B318" s="45" t="s">
        <v>8</v>
      </c>
    </row>
    <row r="319" spans="1:2" s="52" customFormat="1">
      <c r="A319" s="45" t="s">
        <v>1094</v>
      </c>
      <c r="B319" s="45" t="s">
        <v>1095</v>
      </c>
    </row>
    <row r="320" spans="1:2" s="52" customFormat="1">
      <c r="A320" s="45" t="s">
        <v>1096</v>
      </c>
      <c r="B320" s="45" t="s">
        <v>1097</v>
      </c>
    </row>
    <row r="321" spans="1:2" s="52" customFormat="1">
      <c r="A321" s="45" t="s">
        <v>1346</v>
      </c>
      <c r="B321" s="45" t="s">
        <v>1347</v>
      </c>
    </row>
    <row r="322" spans="1:2" s="52" customFormat="1">
      <c r="A322" s="45" t="s">
        <v>1388</v>
      </c>
      <c r="B322" s="45" t="s">
        <v>1414</v>
      </c>
    </row>
    <row r="323" spans="1:2" s="52" customFormat="1">
      <c r="A323" s="45" t="s">
        <v>1098</v>
      </c>
      <c r="B323" s="45" t="s">
        <v>1099</v>
      </c>
    </row>
    <row r="324" spans="1:2" s="52" customFormat="1">
      <c r="A324" s="45" t="s">
        <v>1100</v>
      </c>
      <c r="B324" s="45" t="s">
        <v>1101</v>
      </c>
    </row>
    <row r="325" spans="1:2" s="52" customFormat="1">
      <c r="A325" s="45" t="s">
        <v>1102</v>
      </c>
      <c r="B325" s="45" t="s">
        <v>1103</v>
      </c>
    </row>
    <row r="326" spans="1:2" s="52" customFormat="1">
      <c r="A326" s="45" t="s">
        <v>1104</v>
      </c>
      <c r="B326" s="45" t="s">
        <v>1105</v>
      </c>
    </row>
    <row r="327" spans="1:2" s="52" customFormat="1">
      <c r="A327" s="45" t="s">
        <v>1106</v>
      </c>
      <c r="B327" s="45" t="s">
        <v>1107</v>
      </c>
    </row>
    <row r="328" spans="1:2" s="52" customFormat="1">
      <c r="A328" s="45" t="s">
        <v>1108</v>
      </c>
      <c r="B328" s="45" t="s">
        <v>1109</v>
      </c>
    </row>
    <row r="329" spans="1:2" s="52" customFormat="1">
      <c r="A329" s="45" t="s">
        <v>1110</v>
      </c>
      <c r="B329" s="45" t="s">
        <v>1111</v>
      </c>
    </row>
    <row r="330" spans="1:2" s="52" customFormat="1">
      <c r="A330" s="45" t="s">
        <v>1112</v>
      </c>
      <c r="B330" s="45" t="s">
        <v>1113</v>
      </c>
    </row>
    <row r="331" spans="1:2" s="52" customFormat="1">
      <c r="A331" s="45" t="s">
        <v>1348</v>
      </c>
      <c r="B331" s="45" t="s">
        <v>1349</v>
      </c>
    </row>
    <row r="332" spans="1:2" s="52" customFormat="1">
      <c r="A332" s="45" t="s">
        <v>1114</v>
      </c>
      <c r="B332" s="45" t="s">
        <v>1115</v>
      </c>
    </row>
    <row r="333" spans="1:2" s="52" customFormat="1">
      <c r="A333" s="45" t="s">
        <v>1116</v>
      </c>
      <c r="B333" s="45" t="s">
        <v>1117</v>
      </c>
    </row>
    <row r="334" spans="1:2" s="52" customFormat="1">
      <c r="A334" s="45" t="s">
        <v>1118</v>
      </c>
      <c r="B334" s="45" t="s">
        <v>1119</v>
      </c>
    </row>
    <row r="335" spans="1:2" s="52" customFormat="1">
      <c r="A335" s="45" t="s">
        <v>1120</v>
      </c>
      <c r="B335" s="45" t="s">
        <v>1121</v>
      </c>
    </row>
    <row r="336" spans="1:2" s="52" customFormat="1">
      <c r="A336" s="45" t="s">
        <v>1122</v>
      </c>
      <c r="B336" s="45" t="s">
        <v>1123</v>
      </c>
    </row>
    <row r="337" spans="1:2" s="52" customFormat="1">
      <c r="A337" s="45" t="s">
        <v>1124</v>
      </c>
      <c r="B337" s="45" t="s">
        <v>1125</v>
      </c>
    </row>
    <row r="338" spans="1:2" s="52" customFormat="1">
      <c r="A338" s="45" t="s">
        <v>1126</v>
      </c>
      <c r="B338" s="45" t="s">
        <v>1127</v>
      </c>
    </row>
    <row r="339" spans="1:2" s="52" customFormat="1">
      <c r="A339" s="45" t="s">
        <v>1350</v>
      </c>
      <c r="B339" s="45" t="s">
        <v>1351</v>
      </c>
    </row>
    <row r="340" spans="1:2" s="52" customFormat="1">
      <c r="A340" s="45" t="s">
        <v>1128</v>
      </c>
      <c r="B340" s="45" t="s">
        <v>1352</v>
      </c>
    </row>
    <row r="341" spans="1:2" s="52" customFormat="1">
      <c r="A341" s="45" t="s">
        <v>1129</v>
      </c>
      <c r="B341" s="45" t="s">
        <v>1130</v>
      </c>
    </row>
    <row r="342" spans="1:2" s="52" customFormat="1">
      <c r="A342" s="45" t="s">
        <v>1131</v>
      </c>
      <c r="B342" s="45" t="s">
        <v>1132</v>
      </c>
    </row>
    <row r="343" spans="1:2" s="52" customFormat="1">
      <c r="A343" s="45" t="s">
        <v>1133</v>
      </c>
      <c r="B343" s="45" t="s">
        <v>1134</v>
      </c>
    </row>
    <row r="344" spans="1:2" s="52" customFormat="1">
      <c r="A344" s="45" t="s">
        <v>1135</v>
      </c>
      <c r="B344" s="45" t="s">
        <v>1136</v>
      </c>
    </row>
    <row r="345" spans="1:2" s="52" customFormat="1">
      <c r="A345" s="45" t="s">
        <v>1137</v>
      </c>
      <c r="B345" s="45" t="s">
        <v>1138</v>
      </c>
    </row>
    <row r="346" spans="1:2" s="52" customFormat="1">
      <c r="A346" s="45" t="s">
        <v>1139</v>
      </c>
      <c r="B346" s="45" t="s">
        <v>1140</v>
      </c>
    </row>
    <row r="347" spans="1:2" s="52" customFormat="1">
      <c r="A347" s="45" t="s">
        <v>1141</v>
      </c>
      <c r="B347" s="45" t="s">
        <v>1142</v>
      </c>
    </row>
    <row r="348" spans="1:2" s="52" customFormat="1">
      <c r="A348" s="45" t="s">
        <v>1143</v>
      </c>
      <c r="B348" s="45" t="s">
        <v>1144</v>
      </c>
    </row>
    <row r="349" spans="1:2" s="52" customFormat="1">
      <c r="A349" s="45" t="s">
        <v>1145</v>
      </c>
      <c r="B349" s="45" t="s">
        <v>1146</v>
      </c>
    </row>
    <row r="350" spans="1:2" s="52" customFormat="1">
      <c r="A350" s="45" t="s">
        <v>1147</v>
      </c>
      <c r="B350" s="45" t="s">
        <v>1148</v>
      </c>
    </row>
    <row r="351" spans="1:2" s="52" customFormat="1">
      <c r="A351" s="45" t="s">
        <v>1149</v>
      </c>
      <c r="B351" s="45" t="s">
        <v>1150</v>
      </c>
    </row>
    <row r="352" spans="1:2" s="52" customFormat="1">
      <c r="A352" s="45" t="s">
        <v>1151</v>
      </c>
      <c r="B352" s="45" t="s">
        <v>1152</v>
      </c>
    </row>
    <row r="353" spans="1:2" s="52" customFormat="1">
      <c r="A353" s="45" t="s">
        <v>1153</v>
      </c>
      <c r="B353" s="45" t="s">
        <v>1154</v>
      </c>
    </row>
    <row r="354" spans="1:2" s="52" customFormat="1">
      <c r="A354" s="45" t="s">
        <v>1155</v>
      </c>
      <c r="B354" s="45" t="s">
        <v>1156</v>
      </c>
    </row>
    <row r="355" spans="1:2" s="52" customFormat="1">
      <c r="A355" s="45" t="s">
        <v>1157</v>
      </c>
      <c r="B355" s="45" t="s">
        <v>1158</v>
      </c>
    </row>
    <row r="356" spans="1:2" s="52" customFormat="1">
      <c r="A356" s="45" t="s">
        <v>1159</v>
      </c>
      <c r="B356" s="45" t="s">
        <v>1160</v>
      </c>
    </row>
    <row r="357" spans="1:2" s="52" customFormat="1">
      <c r="A357" s="45" t="s">
        <v>1166</v>
      </c>
      <c r="B357" s="45" t="s">
        <v>1353</v>
      </c>
    </row>
    <row r="358" spans="1:2" s="52" customFormat="1">
      <c r="A358" s="45" t="s">
        <v>1161</v>
      </c>
      <c r="B358" s="45" t="s">
        <v>1162</v>
      </c>
    </row>
    <row r="359" spans="1:2" s="52" customFormat="1">
      <c r="A359" s="45" t="s">
        <v>1163</v>
      </c>
      <c r="B359" s="45" t="s">
        <v>1354</v>
      </c>
    </row>
    <row r="360" spans="1:2" s="52" customFormat="1">
      <c r="A360" s="45" t="s">
        <v>1164</v>
      </c>
      <c r="B360" s="45" t="s">
        <v>1165</v>
      </c>
    </row>
    <row r="361" spans="1:2" s="52" customFormat="1">
      <c r="A361" s="45" t="s">
        <v>1255</v>
      </c>
      <c r="B361" s="45" t="s">
        <v>1256</v>
      </c>
    </row>
    <row r="362" spans="1:2" s="52" customFormat="1">
      <c r="A362" s="45" t="s">
        <v>1167</v>
      </c>
      <c r="B362" s="45" t="s">
        <v>1168</v>
      </c>
    </row>
    <row r="363" spans="1:2" s="52" customFormat="1">
      <c r="A363" s="45" t="s">
        <v>9</v>
      </c>
      <c r="B363" s="45" t="s">
        <v>1169</v>
      </c>
    </row>
    <row r="364" spans="1:2" s="52" customFormat="1">
      <c r="A364" s="45" t="s">
        <v>1170</v>
      </c>
      <c r="B364" s="45" t="s">
        <v>1171</v>
      </c>
    </row>
    <row r="365" spans="1:2" s="52" customFormat="1">
      <c r="A365" s="45" t="s">
        <v>1172</v>
      </c>
      <c r="B365" s="45" t="s">
        <v>1173</v>
      </c>
    </row>
    <row r="366" spans="1:2" s="52" customFormat="1">
      <c r="A366" s="45" t="s">
        <v>1174</v>
      </c>
      <c r="B366" s="45" t="s">
        <v>1175</v>
      </c>
    </row>
    <row r="367" spans="1:2" s="52" customFormat="1">
      <c r="A367" s="45" t="s">
        <v>1176</v>
      </c>
      <c r="B367" s="45" t="s">
        <v>1177</v>
      </c>
    </row>
    <row r="368" spans="1:2" s="52" customFormat="1">
      <c r="A368" s="45" t="s">
        <v>1178</v>
      </c>
      <c r="B368" s="45" t="s">
        <v>1179</v>
      </c>
    </row>
    <row r="369" spans="1:2" s="52" customFormat="1">
      <c r="A369" s="45" t="s">
        <v>1355</v>
      </c>
      <c r="B369" s="45" t="s">
        <v>1356</v>
      </c>
    </row>
    <row r="370" spans="1:2" s="52" customFormat="1">
      <c r="A370" s="45" t="s">
        <v>338</v>
      </c>
      <c r="B370" s="45" t="s">
        <v>793</v>
      </c>
    </row>
    <row r="371" spans="1:2" s="52" customFormat="1">
      <c r="A371" s="45" t="s">
        <v>339</v>
      </c>
      <c r="B371" s="45" t="s">
        <v>794</v>
      </c>
    </row>
    <row r="372" spans="1:2" s="52" customFormat="1">
      <c r="A372" s="45" t="s">
        <v>340</v>
      </c>
      <c r="B372" s="45" t="s">
        <v>795</v>
      </c>
    </row>
    <row r="373" spans="1:2" s="52" customFormat="1">
      <c r="A373" s="45" t="s">
        <v>341</v>
      </c>
      <c r="B373" s="45" t="s">
        <v>796</v>
      </c>
    </row>
    <row r="374" spans="1:2" s="52" customFormat="1">
      <c r="A374" s="45" t="s">
        <v>342</v>
      </c>
      <c r="B374" s="45" t="s">
        <v>797</v>
      </c>
    </row>
    <row r="375" spans="1:2" s="52" customFormat="1">
      <c r="A375" s="45" t="s">
        <v>343</v>
      </c>
      <c r="B375" s="45" t="s">
        <v>798</v>
      </c>
    </row>
    <row r="376" spans="1:2" s="52" customFormat="1">
      <c r="A376" s="45" t="s">
        <v>344</v>
      </c>
      <c r="B376" s="45" t="s">
        <v>799</v>
      </c>
    </row>
    <row r="377" spans="1:2" s="52" customFormat="1">
      <c r="A377" s="45" t="s">
        <v>345</v>
      </c>
      <c r="B377" s="45" t="s">
        <v>800</v>
      </c>
    </row>
    <row r="378" spans="1:2" s="52" customFormat="1">
      <c r="A378" s="45" t="s">
        <v>1357</v>
      </c>
      <c r="B378" s="45" t="s">
        <v>1358</v>
      </c>
    </row>
    <row r="379" spans="1:2" s="52" customFormat="1">
      <c r="A379" s="45" t="s">
        <v>1359</v>
      </c>
      <c r="B379" s="45" t="s">
        <v>1360</v>
      </c>
    </row>
    <row r="380" spans="1:2" s="52" customFormat="1">
      <c r="A380" s="45" t="s">
        <v>1361</v>
      </c>
      <c r="B380" s="45" t="s">
        <v>1362</v>
      </c>
    </row>
    <row r="381" spans="1:2" s="52" customFormat="1">
      <c r="A381" s="45" t="s">
        <v>56</v>
      </c>
      <c r="B381" s="45" t="s">
        <v>1257</v>
      </c>
    </row>
    <row r="382" spans="1:2" s="52" customFormat="1">
      <c r="A382" s="45" t="s">
        <v>346</v>
      </c>
      <c r="B382" s="45" t="s">
        <v>801</v>
      </c>
    </row>
    <row r="383" spans="1:2" s="52" customFormat="1">
      <c r="A383" s="45" t="s">
        <v>347</v>
      </c>
      <c r="B383" s="45" t="s">
        <v>802</v>
      </c>
    </row>
    <row r="384" spans="1:2" s="52" customFormat="1">
      <c r="A384" s="45" t="s">
        <v>1363</v>
      </c>
      <c r="B384" s="45" t="s">
        <v>1364</v>
      </c>
    </row>
    <row r="385" spans="1:2" s="52" customFormat="1">
      <c r="A385" s="45" t="s">
        <v>1365</v>
      </c>
      <c r="B385" s="45" t="s">
        <v>1366</v>
      </c>
    </row>
    <row r="386" spans="1:2" s="52" customFormat="1">
      <c r="A386" s="45" t="s">
        <v>348</v>
      </c>
      <c r="B386" s="45" t="s">
        <v>803</v>
      </c>
    </row>
    <row r="387" spans="1:2" s="52" customFormat="1">
      <c r="A387" s="45" t="s">
        <v>349</v>
      </c>
      <c r="B387" s="45" t="s">
        <v>804</v>
      </c>
    </row>
    <row r="388" spans="1:2" s="52" customFormat="1">
      <c r="A388" s="45" t="s">
        <v>350</v>
      </c>
      <c r="B388" s="45" t="s">
        <v>805</v>
      </c>
    </row>
    <row r="389" spans="1:2" s="52" customFormat="1">
      <c r="A389" s="45" t="s">
        <v>351</v>
      </c>
      <c r="B389" s="45" t="s">
        <v>806</v>
      </c>
    </row>
    <row r="390" spans="1:2" s="52" customFormat="1">
      <c r="A390" s="45" t="s">
        <v>352</v>
      </c>
      <c r="B390" s="45" t="s">
        <v>807</v>
      </c>
    </row>
    <row r="391" spans="1:2" s="52" customFormat="1">
      <c r="A391" s="45" t="s">
        <v>353</v>
      </c>
      <c r="B391" s="45" t="s">
        <v>808</v>
      </c>
    </row>
    <row r="392" spans="1:2" s="52" customFormat="1">
      <c r="A392" s="45" t="s">
        <v>354</v>
      </c>
      <c r="B392" s="45" t="s">
        <v>809</v>
      </c>
    </row>
    <row r="393" spans="1:2" s="52" customFormat="1">
      <c r="A393" s="45" t="s">
        <v>355</v>
      </c>
      <c r="B393" s="45" t="s">
        <v>810</v>
      </c>
    </row>
    <row r="394" spans="1:2" s="52" customFormat="1">
      <c r="A394" s="45" t="s">
        <v>356</v>
      </c>
      <c r="B394" s="45" t="s">
        <v>1180</v>
      </c>
    </row>
    <row r="395" spans="1:2" s="52" customFormat="1">
      <c r="A395" s="45" t="s">
        <v>357</v>
      </c>
      <c r="B395" s="45" t="s">
        <v>811</v>
      </c>
    </row>
    <row r="396" spans="1:2" s="52" customFormat="1">
      <c r="A396" s="45" t="s">
        <v>1181</v>
      </c>
      <c r="B396" s="45" t="s">
        <v>812</v>
      </c>
    </row>
    <row r="397" spans="1:2" s="52" customFormat="1">
      <c r="A397" s="45" t="s">
        <v>1182</v>
      </c>
      <c r="B397" s="45" t="s">
        <v>29</v>
      </c>
    </row>
    <row r="398" spans="1:2" s="52" customFormat="1">
      <c r="A398" s="45" t="s">
        <v>358</v>
      </c>
      <c r="B398" s="45" t="s">
        <v>813</v>
      </c>
    </row>
    <row r="399" spans="1:2" s="52" customFormat="1">
      <c r="A399" s="45" t="s">
        <v>1184</v>
      </c>
      <c r="B399" s="45" t="s">
        <v>814</v>
      </c>
    </row>
    <row r="400" spans="1:2" s="52" customFormat="1">
      <c r="A400" s="45" t="s">
        <v>1185</v>
      </c>
      <c r="B400" s="45" t="s">
        <v>815</v>
      </c>
    </row>
    <row r="401" spans="1:2" s="52" customFormat="1">
      <c r="A401" s="45" t="s">
        <v>1183</v>
      </c>
      <c r="B401" s="45" t="s">
        <v>1367</v>
      </c>
    </row>
    <row r="402" spans="1:2" s="52" customFormat="1">
      <c r="A402" s="45" t="s">
        <v>30</v>
      </c>
      <c r="B402" s="45" t="s">
        <v>31</v>
      </c>
    </row>
    <row r="403" spans="1:2" s="52" customFormat="1">
      <c r="A403" s="45" t="s">
        <v>1186</v>
      </c>
      <c r="B403" s="45" t="s">
        <v>1368</v>
      </c>
    </row>
    <row r="404" spans="1:2" s="52" customFormat="1">
      <c r="A404" s="45" t="s">
        <v>359</v>
      </c>
      <c r="B404" s="45" t="s">
        <v>816</v>
      </c>
    </row>
    <row r="405" spans="1:2" s="52" customFormat="1">
      <c r="A405" s="45" t="s">
        <v>360</v>
      </c>
      <c r="B405" s="45" t="s">
        <v>817</v>
      </c>
    </row>
    <row r="406" spans="1:2" s="52" customFormat="1">
      <c r="A406" s="45" t="s">
        <v>1187</v>
      </c>
      <c r="B406" s="45" t="s">
        <v>1369</v>
      </c>
    </row>
    <row r="407" spans="1:2" s="52" customFormat="1">
      <c r="A407" s="45" t="s">
        <v>1188</v>
      </c>
      <c r="B407" s="45" t="s">
        <v>818</v>
      </c>
    </row>
    <row r="408" spans="1:2" s="52" customFormat="1">
      <c r="A408" s="45" t="s">
        <v>1189</v>
      </c>
      <c r="B408" s="45" t="s">
        <v>819</v>
      </c>
    </row>
    <row r="409" spans="1:2" s="52" customFormat="1">
      <c r="A409" s="45" t="s">
        <v>1370</v>
      </c>
      <c r="B409" s="45" t="s">
        <v>1371</v>
      </c>
    </row>
    <row r="410" spans="1:2" s="52" customFormat="1">
      <c r="A410" s="45" t="s">
        <v>361</v>
      </c>
      <c r="B410" s="45" t="s">
        <v>820</v>
      </c>
    </row>
    <row r="411" spans="1:2" s="52" customFormat="1">
      <c r="A411" s="45" t="s">
        <v>362</v>
      </c>
      <c r="B411" s="45" t="s">
        <v>1258</v>
      </c>
    </row>
    <row r="412" spans="1:2" s="52" customFormat="1">
      <c r="A412" s="45" t="s">
        <v>363</v>
      </c>
      <c r="B412" s="45" t="s">
        <v>821</v>
      </c>
    </row>
    <row r="413" spans="1:2" s="52" customFormat="1">
      <c r="A413" s="45" t="s">
        <v>1372</v>
      </c>
      <c r="B413" s="45" t="s">
        <v>1373</v>
      </c>
    </row>
    <row r="414" spans="1:2" s="52" customFormat="1">
      <c r="A414" s="45" t="s">
        <v>364</v>
      </c>
      <c r="B414" s="45" t="s">
        <v>1415</v>
      </c>
    </row>
    <row r="415" spans="1:2" s="52" customFormat="1">
      <c r="A415" s="45" t="s">
        <v>365</v>
      </c>
      <c r="B415" s="45" t="s">
        <v>822</v>
      </c>
    </row>
    <row r="416" spans="1:2" s="52" customFormat="1">
      <c r="A416" s="45" t="s">
        <v>366</v>
      </c>
      <c r="B416" s="45" t="s">
        <v>823</v>
      </c>
    </row>
    <row r="417" spans="1:2" s="52" customFormat="1">
      <c r="A417" s="45" t="s">
        <v>367</v>
      </c>
      <c r="B417" s="45" t="s">
        <v>824</v>
      </c>
    </row>
    <row r="418" spans="1:2" s="52" customFormat="1">
      <c r="A418" s="45" t="s">
        <v>368</v>
      </c>
      <c r="B418" s="45" t="s">
        <v>825</v>
      </c>
    </row>
    <row r="419" spans="1:2" s="52" customFormat="1">
      <c r="A419" s="45" t="s">
        <v>369</v>
      </c>
      <c r="B419" s="45" t="s">
        <v>826</v>
      </c>
    </row>
    <row r="420" spans="1:2" s="52" customFormat="1">
      <c r="A420" s="45" t="s">
        <v>370</v>
      </c>
      <c r="B420" s="45" t="s">
        <v>827</v>
      </c>
    </row>
    <row r="421" spans="1:2" s="52" customFormat="1">
      <c r="A421" s="45" t="s">
        <v>371</v>
      </c>
      <c r="B421" s="45" t="s">
        <v>828</v>
      </c>
    </row>
    <row r="422" spans="1:2" s="52" customFormat="1">
      <c r="A422" s="45" t="s">
        <v>372</v>
      </c>
      <c r="B422" s="45" t="s">
        <v>829</v>
      </c>
    </row>
    <row r="423" spans="1:2" s="52" customFormat="1">
      <c r="A423" s="45" t="s">
        <v>373</v>
      </c>
      <c r="B423" s="45" t="s">
        <v>830</v>
      </c>
    </row>
    <row r="424" spans="1:2" s="52" customFormat="1">
      <c r="A424" s="45" t="s">
        <v>374</v>
      </c>
      <c r="B424" s="45" t="s">
        <v>831</v>
      </c>
    </row>
    <row r="425" spans="1:2" s="52" customFormat="1">
      <c r="A425" s="45" t="s">
        <v>375</v>
      </c>
      <c r="B425" s="45" t="s">
        <v>832</v>
      </c>
    </row>
    <row r="426" spans="1:2" s="52" customFormat="1">
      <c r="A426" s="45" t="s">
        <v>376</v>
      </c>
      <c r="B426" s="45" t="s">
        <v>833</v>
      </c>
    </row>
    <row r="427" spans="1:2" s="52" customFormat="1">
      <c r="A427" s="45" t="s">
        <v>377</v>
      </c>
      <c r="B427" s="45" t="s">
        <v>834</v>
      </c>
    </row>
    <row r="428" spans="1:2" s="52" customFormat="1">
      <c r="A428" s="45" t="s">
        <v>378</v>
      </c>
      <c r="B428" s="45" t="s">
        <v>1190</v>
      </c>
    </row>
    <row r="429" spans="1:2" s="52" customFormat="1">
      <c r="A429" s="45" t="s">
        <v>379</v>
      </c>
      <c r="B429" s="45" t="s">
        <v>1191</v>
      </c>
    </row>
    <row r="430" spans="1:2" s="52" customFormat="1">
      <c r="A430" s="45" t="s">
        <v>380</v>
      </c>
      <c r="B430" s="45" t="s">
        <v>835</v>
      </c>
    </row>
    <row r="431" spans="1:2" s="52" customFormat="1">
      <c r="A431" s="45" t="s">
        <v>381</v>
      </c>
      <c r="B431" s="45" t="s">
        <v>836</v>
      </c>
    </row>
    <row r="432" spans="1:2" s="52" customFormat="1">
      <c r="A432" s="45" t="s">
        <v>1259</v>
      </c>
      <c r="B432" s="45" t="s">
        <v>1374</v>
      </c>
    </row>
    <row r="433" spans="1:2" s="52" customFormat="1">
      <c r="A433" s="45" t="s">
        <v>382</v>
      </c>
      <c r="B433" s="45" t="s">
        <v>837</v>
      </c>
    </row>
    <row r="434" spans="1:2" s="52" customFormat="1">
      <c r="A434" s="45" t="s">
        <v>383</v>
      </c>
      <c r="B434" s="45" t="s">
        <v>838</v>
      </c>
    </row>
    <row r="435" spans="1:2" s="52" customFormat="1">
      <c r="A435" s="45" t="s">
        <v>384</v>
      </c>
      <c r="B435" s="45" t="s">
        <v>839</v>
      </c>
    </row>
    <row r="436" spans="1:2" s="52" customFormat="1">
      <c r="A436" s="45" t="s">
        <v>385</v>
      </c>
      <c r="B436" s="45" t="s">
        <v>840</v>
      </c>
    </row>
    <row r="437" spans="1:2" s="52" customFormat="1">
      <c r="A437" s="45" t="s">
        <v>386</v>
      </c>
      <c r="B437" s="45" t="s">
        <v>841</v>
      </c>
    </row>
    <row r="438" spans="1:2" s="52" customFormat="1">
      <c r="A438" s="45" t="s">
        <v>387</v>
      </c>
      <c r="B438" s="45" t="s">
        <v>1192</v>
      </c>
    </row>
    <row r="439" spans="1:2" s="52" customFormat="1">
      <c r="A439" s="45" t="s">
        <v>388</v>
      </c>
      <c r="B439" s="45" t="s">
        <v>842</v>
      </c>
    </row>
    <row r="440" spans="1:2" s="52" customFormat="1">
      <c r="A440" s="45" t="s">
        <v>389</v>
      </c>
      <c r="B440" s="45" t="s">
        <v>843</v>
      </c>
    </row>
    <row r="441" spans="1:2" s="52" customFormat="1">
      <c r="A441" s="45" t="s">
        <v>390</v>
      </c>
      <c r="B441" s="45" t="s">
        <v>844</v>
      </c>
    </row>
    <row r="442" spans="1:2" s="52" customFormat="1">
      <c r="A442" s="45" t="s">
        <v>391</v>
      </c>
      <c r="B442" s="45" t="s">
        <v>845</v>
      </c>
    </row>
    <row r="443" spans="1:2" s="52" customFormat="1">
      <c r="A443" s="45" t="s">
        <v>392</v>
      </c>
      <c r="B443" s="45" t="s">
        <v>846</v>
      </c>
    </row>
    <row r="444" spans="1:2" s="52" customFormat="1">
      <c r="A444" s="45" t="s">
        <v>393</v>
      </c>
      <c r="B444" s="45" t="s">
        <v>847</v>
      </c>
    </row>
    <row r="445" spans="1:2" s="52" customFormat="1">
      <c r="A445" s="45" t="s">
        <v>394</v>
      </c>
      <c r="B445" s="45" t="s">
        <v>848</v>
      </c>
    </row>
    <row r="446" spans="1:2" s="52" customFormat="1">
      <c r="A446" s="45" t="s">
        <v>395</v>
      </c>
      <c r="B446" s="45" t="s">
        <v>849</v>
      </c>
    </row>
    <row r="447" spans="1:2" s="52" customFormat="1">
      <c r="A447" s="45" t="s">
        <v>396</v>
      </c>
      <c r="B447" s="45" t="s">
        <v>850</v>
      </c>
    </row>
    <row r="448" spans="1:2" s="52" customFormat="1">
      <c r="A448" s="45" t="s">
        <v>397</v>
      </c>
      <c r="B448" s="45" t="s">
        <v>851</v>
      </c>
    </row>
    <row r="449" spans="1:2" s="52" customFormat="1">
      <c r="A449" s="45" t="s">
        <v>398</v>
      </c>
      <c r="B449" s="45" t="s">
        <v>852</v>
      </c>
    </row>
    <row r="450" spans="1:2" s="52" customFormat="1">
      <c r="A450" s="45" t="s">
        <v>399</v>
      </c>
      <c r="B450" s="45" t="s">
        <v>853</v>
      </c>
    </row>
    <row r="451" spans="1:2" s="52" customFormat="1">
      <c r="A451" s="45" t="s">
        <v>400</v>
      </c>
      <c r="B451" s="45" t="s">
        <v>401</v>
      </c>
    </row>
    <row r="452" spans="1:2" s="52" customFormat="1">
      <c r="A452" s="45" t="s">
        <v>402</v>
      </c>
      <c r="B452" s="45" t="s">
        <v>854</v>
      </c>
    </row>
    <row r="453" spans="1:2" s="52" customFormat="1">
      <c r="A453" s="45" t="s">
        <v>403</v>
      </c>
      <c r="B453" s="45" t="s">
        <v>855</v>
      </c>
    </row>
    <row r="454" spans="1:2" s="52" customFormat="1">
      <c r="A454" s="45" t="s">
        <v>404</v>
      </c>
      <c r="B454" s="45" t="s">
        <v>856</v>
      </c>
    </row>
    <row r="455" spans="1:2" s="52" customFormat="1">
      <c r="A455" s="45" t="s">
        <v>1375</v>
      </c>
      <c r="B455" s="45" t="s">
        <v>1376</v>
      </c>
    </row>
    <row r="456" spans="1:2" s="52" customFormat="1">
      <c r="A456" s="45" t="s">
        <v>405</v>
      </c>
      <c r="B456" s="45" t="s">
        <v>857</v>
      </c>
    </row>
    <row r="457" spans="1:2" s="52" customFormat="1">
      <c r="A457" s="45" t="s">
        <v>406</v>
      </c>
      <c r="B457" s="45" t="s">
        <v>858</v>
      </c>
    </row>
    <row r="458" spans="1:2" s="52" customFormat="1">
      <c r="A458" s="45" t="s">
        <v>407</v>
      </c>
      <c r="B458" s="45" t="s">
        <v>859</v>
      </c>
    </row>
    <row r="459" spans="1:2" s="52" customFormat="1">
      <c r="A459" s="45" t="s">
        <v>408</v>
      </c>
      <c r="B459" s="45" t="s">
        <v>1193</v>
      </c>
    </row>
    <row r="460" spans="1:2" s="52" customFormat="1">
      <c r="A460" s="45" t="s">
        <v>89</v>
      </c>
      <c r="B460" s="45" t="s">
        <v>90</v>
      </c>
    </row>
    <row r="461" spans="1:2" s="52" customFormat="1">
      <c r="A461" s="45" t="s">
        <v>409</v>
      </c>
      <c r="B461" s="45" t="s">
        <v>860</v>
      </c>
    </row>
    <row r="462" spans="1:2" s="52" customFormat="1">
      <c r="A462" s="45" t="s">
        <v>1260</v>
      </c>
      <c r="B462" s="45" t="s">
        <v>1261</v>
      </c>
    </row>
    <row r="463" spans="1:2" s="52" customFormat="1">
      <c r="A463" s="45" t="s">
        <v>37</v>
      </c>
      <c r="B463" s="45" t="s">
        <v>38</v>
      </c>
    </row>
    <row r="464" spans="1:2" s="52" customFormat="1">
      <c r="A464" s="45" t="s">
        <v>410</v>
      </c>
      <c r="B464" s="45" t="s">
        <v>861</v>
      </c>
    </row>
    <row r="465" spans="1:2" s="52" customFormat="1">
      <c r="A465" s="45" t="s">
        <v>39</v>
      </c>
      <c r="B465" s="45" t="s">
        <v>40</v>
      </c>
    </row>
    <row r="466" spans="1:2" s="52" customFormat="1">
      <c r="A466" s="45" t="s">
        <v>41</v>
      </c>
      <c r="B466" s="45" t="s">
        <v>42</v>
      </c>
    </row>
    <row r="467" spans="1:2" s="52" customFormat="1">
      <c r="A467" s="45" t="s">
        <v>43</v>
      </c>
      <c r="B467" s="45" t="s">
        <v>44</v>
      </c>
    </row>
    <row r="468" spans="1:2" s="52" customFormat="1">
      <c r="A468" s="45" t="s">
        <v>45</v>
      </c>
      <c r="B468" s="45" t="s">
        <v>46</v>
      </c>
    </row>
    <row r="469" spans="1:2" s="52" customFormat="1">
      <c r="A469" s="45" t="s">
        <v>411</v>
      </c>
      <c r="B469" s="45" t="s">
        <v>862</v>
      </c>
    </row>
    <row r="470" spans="1:2" s="52" customFormat="1">
      <c r="A470" s="45" t="s">
        <v>412</v>
      </c>
      <c r="B470" s="45" t="s">
        <v>863</v>
      </c>
    </row>
    <row r="471" spans="1:2" s="52" customFormat="1">
      <c r="A471" s="45" t="s">
        <v>413</v>
      </c>
      <c r="B471" s="45" t="s">
        <v>864</v>
      </c>
    </row>
    <row r="472" spans="1:2" s="52" customFormat="1">
      <c r="A472" s="45" t="s">
        <v>414</v>
      </c>
      <c r="B472" s="45" t="s">
        <v>865</v>
      </c>
    </row>
    <row r="473" spans="1:2" s="52" customFormat="1">
      <c r="A473" s="45" t="s">
        <v>1377</v>
      </c>
      <c r="B473" s="45" t="s">
        <v>1378</v>
      </c>
    </row>
    <row r="474" spans="1:2" s="52" customFormat="1">
      <c r="A474" s="45" t="s">
        <v>1379</v>
      </c>
      <c r="B474" s="45" t="s">
        <v>1380</v>
      </c>
    </row>
    <row r="475" spans="1:2" s="52" customFormat="1">
      <c r="A475" s="45" t="s">
        <v>47</v>
      </c>
      <c r="B475" s="45" t="s">
        <v>48</v>
      </c>
    </row>
    <row r="476" spans="1:2" s="52" customFormat="1">
      <c r="A476" s="45" t="s">
        <v>19</v>
      </c>
      <c r="B476" s="45" t="s">
        <v>866</v>
      </c>
    </row>
    <row r="477" spans="1:2" s="52" customFormat="1">
      <c r="A477" s="45" t="s">
        <v>17</v>
      </c>
      <c r="B477" s="45" t="s">
        <v>18</v>
      </c>
    </row>
    <row r="478" spans="1:2" s="52" customFormat="1">
      <c r="A478" s="45" t="s">
        <v>15</v>
      </c>
      <c r="B478" s="45" t="s">
        <v>867</v>
      </c>
    </row>
    <row r="479" spans="1:2" s="52" customFormat="1">
      <c r="A479" s="45" t="s">
        <v>1194</v>
      </c>
      <c r="B479" s="45" t="s">
        <v>868</v>
      </c>
    </row>
    <row r="480" spans="1:2" s="52" customFormat="1">
      <c r="A480" s="45" t="s">
        <v>415</v>
      </c>
      <c r="B480" s="45" t="s">
        <v>869</v>
      </c>
    </row>
    <row r="481" spans="1:2" s="52" customFormat="1">
      <c r="A481" s="45" t="s">
        <v>1381</v>
      </c>
      <c r="B481" s="45" t="s">
        <v>1382</v>
      </c>
    </row>
    <row r="482" spans="1:2" s="52" customFormat="1">
      <c r="A482" s="45" t="s">
        <v>1262</v>
      </c>
      <c r="B482" s="45" t="s">
        <v>1263</v>
      </c>
    </row>
    <row r="483" spans="1:2" s="52" customFormat="1">
      <c r="A483" s="45" t="s">
        <v>1264</v>
      </c>
      <c r="B483" s="45" t="s">
        <v>1265</v>
      </c>
    </row>
    <row r="484" spans="1:2" s="52" customFormat="1">
      <c r="A484" s="45" t="s">
        <v>1266</v>
      </c>
      <c r="B484" s="45" t="s">
        <v>1267</v>
      </c>
    </row>
    <row r="485" spans="1:2" s="52" customFormat="1">
      <c r="A485" s="45" t="s">
        <v>416</v>
      </c>
      <c r="B485" s="45" t="s">
        <v>870</v>
      </c>
    </row>
    <row r="486" spans="1:2" s="52" customFormat="1">
      <c r="A486" s="45" t="s">
        <v>417</v>
      </c>
      <c r="B486" s="45" t="s">
        <v>871</v>
      </c>
    </row>
    <row r="487" spans="1:2" s="52" customFormat="1">
      <c r="A487" s="45" t="s">
        <v>418</v>
      </c>
      <c r="B487" s="45" t="s">
        <v>1195</v>
      </c>
    </row>
    <row r="488" spans="1:2" s="52" customFormat="1">
      <c r="A488" s="45" t="s">
        <v>419</v>
      </c>
      <c r="B488" s="45" t="s">
        <v>1196</v>
      </c>
    </row>
    <row r="489" spans="1:2" s="52" customFormat="1">
      <c r="A489" s="45" t="s">
        <v>874</v>
      </c>
      <c r="B489" s="45" t="s">
        <v>1383</v>
      </c>
    </row>
    <row r="490" spans="1:2" s="52" customFormat="1">
      <c r="A490" s="45" t="s">
        <v>420</v>
      </c>
      <c r="B490" s="45" t="s">
        <v>1197</v>
      </c>
    </row>
    <row r="491" spans="1:2" s="52" customFormat="1">
      <c r="A491" s="45" t="s">
        <v>421</v>
      </c>
      <c r="B491" s="45" t="s">
        <v>1384</v>
      </c>
    </row>
    <row r="492" spans="1:2" s="52" customFormat="1">
      <c r="A492" s="45" t="s">
        <v>872</v>
      </c>
      <c r="B492" s="45" t="s">
        <v>1198</v>
      </c>
    </row>
    <row r="493" spans="1:2" s="52" customFormat="1">
      <c r="A493" s="45" t="s">
        <v>422</v>
      </c>
      <c r="B493" s="45" t="s">
        <v>1199</v>
      </c>
    </row>
    <row r="494" spans="1:2" s="52" customFormat="1">
      <c r="A494" s="45" t="s">
        <v>54</v>
      </c>
      <c r="B494" s="45" t="s">
        <v>55</v>
      </c>
    </row>
    <row r="495" spans="1:2" s="52" customFormat="1">
      <c r="A495" s="45" t="s">
        <v>423</v>
      </c>
      <c r="B495" s="45" t="s">
        <v>1200</v>
      </c>
    </row>
    <row r="496" spans="1:2" s="52" customFormat="1">
      <c r="A496" s="45" t="s">
        <v>424</v>
      </c>
      <c r="B496" s="45" t="s">
        <v>1201</v>
      </c>
    </row>
    <row r="497" spans="1:2" s="52" customFormat="1">
      <c r="A497" s="45" t="s">
        <v>425</v>
      </c>
      <c r="B497" s="45" t="s">
        <v>873</v>
      </c>
    </row>
    <row r="498" spans="1:2" s="52" customFormat="1">
      <c r="A498" s="45" t="s">
        <v>426</v>
      </c>
      <c r="B498" s="45" t="s">
        <v>875</v>
      </c>
    </row>
    <row r="499" spans="1:2" s="52" customFormat="1">
      <c r="A499" s="45" t="s">
        <v>427</v>
      </c>
      <c r="B499" s="45" t="s">
        <v>876</v>
      </c>
    </row>
    <row r="500" spans="1:2" s="52" customFormat="1">
      <c r="A500" s="45" t="s">
        <v>428</v>
      </c>
      <c r="B500" s="45" t="s">
        <v>877</v>
      </c>
    </row>
    <row r="501" spans="1:2" s="52" customFormat="1">
      <c r="A501" s="45" t="s">
        <v>429</v>
      </c>
      <c r="B501" s="45" t="s">
        <v>1202</v>
      </c>
    </row>
    <row r="502" spans="1:2" s="52" customFormat="1">
      <c r="A502" s="45" t="s">
        <v>430</v>
      </c>
      <c r="B502" s="45" t="s">
        <v>1203</v>
      </c>
    </row>
    <row r="503" spans="1:2" s="52" customFormat="1">
      <c r="A503" s="45" t="s">
        <v>74</v>
      </c>
      <c r="B503" s="45" t="s">
        <v>75</v>
      </c>
    </row>
    <row r="504" spans="1:2" s="52" customFormat="1">
      <c r="A504" s="45" t="s">
        <v>1204</v>
      </c>
      <c r="B504" s="45" t="s">
        <v>878</v>
      </c>
    </row>
    <row r="505" spans="1:2" s="52" customFormat="1">
      <c r="A505" s="45" t="s">
        <v>431</v>
      </c>
      <c r="B505" s="45" t="s">
        <v>879</v>
      </c>
    </row>
    <row r="506" spans="1:2" s="52" customFormat="1">
      <c r="A506" s="45" t="s">
        <v>432</v>
      </c>
      <c r="B506" s="45" t="s">
        <v>880</v>
      </c>
    </row>
    <row r="507" spans="1:2" s="52" customFormat="1">
      <c r="A507" s="45" t="s">
        <v>433</v>
      </c>
      <c r="B507" s="45" t="s">
        <v>881</v>
      </c>
    </row>
    <row r="508" spans="1:2" s="52" customFormat="1">
      <c r="A508" s="45" t="s">
        <v>434</v>
      </c>
      <c r="B508" s="45" t="s">
        <v>882</v>
      </c>
    </row>
    <row r="509" spans="1:2" s="52" customFormat="1">
      <c r="A509" s="45" t="s">
        <v>435</v>
      </c>
      <c r="B509" s="45" t="s">
        <v>883</v>
      </c>
    </row>
    <row r="510" spans="1:2" s="52" customFormat="1">
      <c r="A510" s="45" t="s">
        <v>436</v>
      </c>
      <c r="B510" s="45" t="s">
        <v>884</v>
      </c>
    </row>
    <row r="511" spans="1:2" s="52" customFormat="1">
      <c r="A511" s="45" t="s">
        <v>437</v>
      </c>
      <c r="B511" s="45" t="s">
        <v>885</v>
      </c>
    </row>
    <row r="512" spans="1:2" s="52" customFormat="1">
      <c r="A512" s="45" t="s">
        <v>438</v>
      </c>
      <c r="B512" s="45" t="s">
        <v>886</v>
      </c>
    </row>
    <row r="513" spans="1:2" s="52" customFormat="1">
      <c r="A513" s="45" t="s">
        <v>439</v>
      </c>
      <c r="B513" s="45" t="s">
        <v>887</v>
      </c>
    </row>
    <row r="514" spans="1:2" s="52" customFormat="1">
      <c r="A514" s="45" t="s">
        <v>440</v>
      </c>
      <c r="B514" s="45" t="s">
        <v>888</v>
      </c>
    </row>
    <row r="515" spans="1:2" s="52" customFormat="1">
      <c r="A515" s="45" t="s">
        <v>441</v>
      </c>
      <c r="B515" s="45" t="s">
        <v>889</v>
      </c>
    </row>
    <row r="516" spans="1:2" s="52" customFormat="1">
      <c r="A516" s="45" t="s">
        <v>442</v>
      </c>
      <c r="B516" s="45" t="s">
        <v>890</v>
      </c>
    </row>
    <row r="517" spans="1:2" s="52" customFormat="1">
      <c r="A517" s="45" t="s">
        <v>443</v>
      </c>
      <c r="B517" s="45" t="s">
        <v>891</v>
      </c>
    </row>
    <row r="518" spans="1:2" s="52" customFormat="1">
      <c r="A518" s="45" t="s">
        <v>444</v>
      </c>
      <c r="B518" s="45" t="s">
        <v>892</v>
      </c>
    </row>
    <row r="519" spans="1:2" s="52" customFormat="1">
      <c r="A519" s="45" t="s">
        <v>445</v>
      </c>
      <c r="B519" s="45" t="s">
        <v>893</v>
      </c>
    </row>
    <row r="520" spans="1:2" s="52" customFormat="1">
      <c r="A520" s="45" t="s">
        <v>446</v>
      </c>
      <c r="B520" s="45" t="s">
        <v>894</v>
      </c>
    </row>
    <row r="521" spans="1:2" s="52" customFormat="1">
      <c r="A521" s="45" t="s">
        <v>52</v>
      </c>
      <c r="B521" s="45" t="s">
        <v>53</v>
      </c>
    </row>
    <row r="522" spans="1:2" s="52" customFormat="1">
      <c r="A522" s="45" t="s">
        <v>447</v>
      </c>
      <c r="B522" s="45" t="s">
        <v>895</v>
      </c>
    </row>
    <row r="523" spans="1:2" s="52" customFormat="1">
      <c r="A523" s="45" t="s">
        <v>50</v>
      </c>
      <c r="B523" s="45" t="s">
        <v>51</v>
      </c>
    </row>
    <row r="524" spans="1:2" s="52" customFormat="1">
      <c r="A524" s="45" t="s">
        <v>448</v>
      </c>
      <c r="B524" s="45" t="s">
        <v>896</v>
      </c>
    </row>
    <row r="525" spans="1:2" s="52" customFormat="1">
      <c r="A525" s="45" t="s">
        <v>1385</v>
      </c>
      <c r="B525" s="45" t="s">
        <v>1386</v>
      </c>
    </row>
    <row r="526" spans="1:2" s="52" customFormat="1">
      <c r="A526" s="45" t="s">
        <v>449</v>
      </c>
      <c r="B526" s="45" t="s">
        <v>897</v>
      </c>
    </row>
    <row r="527" spans="1:2" s="52" customFormat="1">
      <c r="A527" s="45" t="s">
        <v>451</v>
      </c>
      <c r="B527" s="45" t="s">
        <v>898</v>
      </c>
    </row>
    <row r="528" spans="1:2" s="52" customFormat="1">
      <c r="A528" s="45" t="s">
        <v>450</v>
      </c>
      <c r="B528" s="45" t="s">
        <v>1387</v>
      </c>
    </row>
    <row r="529" spans="1:2" s="52" customFormat="1">
      <c r="A529" s="45" t="s">
        <v>452</v>
      </c>
      <c r="B529" s="45" t="s">
        <v>899</v>
      </c>
    </row>
    <row r="530" spans="1:2" s="52" customFormat="1">
      <c r="A530" s="45" t="s">
        <v>1205</v>
      </c>
      <c r="B530" s="45" t="s">
        <v>1206</v>
      </c>
    </row>
    <row r="531" spans="1:2" s="52" customFormat="1">
      <c r="A531" s="45" t="s">
        <v>453</v>
      </c>
      <c r="B531" s="45" t="s">
        <v>900</v>
      </c>
    </row>
    <row r="532" spans="1:2" s="52" customFormat="1">
      <c r="A532" s="45" t="s">
        <v>454</v>
      </c>
      <c r="B532" s="45" t="s">
        <v>1268</v>
      </c>
    </row>
    <row r="533" spans="1:2" s="52" customFormat="1">
      <c r="A533" s="45" t="s">
        <v>455</v>
      </c>
      <c r="B533" s="45" t="s">
        <v>901</v>
      </c>
    </row>
    <row r="534" spans="1:2" s="52" customFormat="1">
      <c r="A534" s="45" t="s">
        <v>456</v>
      </c>
      <c r="B534" s="45" t="s">
        <v>902</v>
      </c>
    </row>
    <row r="535" spans="1:2" s="52" customFormat="1">
      <c r="A535" s="45" t="s">
        <v>457</v>
      </c>
      <c r="B535" s="45" t="s">
        <v>903</v>
      </c>
    </row>
    <row r="536" spans="1:2" s="52" customFormat="1">
      <c r="A536" s="45" t="s">
        <v>458</v>
      </c>
      <c r="B536" s="45" t="s">
        <v>904</v>
      </c>
    </row>
    <row r="537" spans="1:2" s="52" customFormat="1">
      <c r="A537" s="45" t="s">
        <v>459</v>
      </c>
      <c r="B537" s="45" t="s">
        <v>905</v>
      </c>
    </row>
    <row r="538" spans="1:2" s="52" customFormat="1">
      <c r="A538" s="45" t="s">
        <v>460</v>
      </c>
      <c r="B538" s="45" t="s">
        <v>906</v>
      </c>
    </row>
    <row r="539" spans="1:2" s="52" customFormat="1">
      <c r="A539" s="45" t="s">
        <v>461</v>
      </c>
      <c r="B539" s="45" t="s">
        <v>907</v>
      </c>
    </row>
    <row r="540" spans="1:2" s="52" customFormat="1">
      <c r="A540" s="45" t="s">
        <v>462</v>
      </c>
      <c r="B540" s="45" t="s">
        <v>908</v>
      </c>
    </row>
    <row r="541" spans="1:2" s="52" customFormat="1">
      <c r="A541" s="45" t="s">
        <v>463</v>
      </c>
      <c r="B541" s="45" t="s">
        <v>1207</v>
      </c>
    </row>
    <row r="542" spans="1:2" s="52" customFormat="1">
      <c r="A542" s="45" t="s">
        <v>464</v>
      </c>
      <c r="B542" s="45" t="s">
        <v>1208</v>
      </c>
    </row>
    <row r="543" spans="1:2" s="52" customFormat="1">
      <c r="A543" s="45" t="s">
        <v>512</v>
      </c>
      <c r="B543" s="45" t="s">
        <v>1209</v>
      </c>
    </row>
    <row r="544" spans="1:2" s="52" customFormat="1">
      <c r="A544" s="45" t="s">
        <v>513</v>
      </c>
      <c r="B544" s="45" t="s">
        <v>1210</v>
      </c>
    </row>
    <row r="545" spans="1:2" s="52" customFormat="1">
      <c r="A545" s="45" t="s">
        <v>514</v>
      </c>
      <c r="B545" s="45" t="s">
        <v>1211</v>
      </c>
    </row>
    <row r="546" spans="1:2" s="52" customFormat="1">
      <c r="A546" s="45" t="s">
        <v>515</v>
      </c>
      <c r="B546" s="45" t="s">
        <v>1212</v>
      </c>
    </row>
    <row r="547" spans="1:2" s="52" customFormat="1">
      <c r="A547" s="45" t="s">
        <v>516</v>
      </c>
      <c r="B547" s="45" t="s">
        <v>1213</v>
      </c>
    </row>
    <row r="548" spans="1:2" s="52" customFormat="1">
      <c r="A548" s="45" t="s">
        <v>517</v>
      </c>
      <c r="B548" s="45" t="s">
        <v>1214</v>
      </c>
    </row>
    <row r="549" spans="1:2" s="52" customFormat="1">
      <c r="A549" s="45" t="s">
        <v>518</v>
      </c>
      <c r="B549" s="45" t="s">
        <v>1215</v>
      </c>
    </row>
    <row r="550" spans="1:2" s="52" customFormat="1">
      <c r="A550" s="45" t="s">
        <v>519</v>
      </c>
      <c r="B550" s="45" t="s">
        <v>1216</v>
      </c>
    </row>
    <row r="551" spans="1:2" s="52" customFormat="1">
      <c r="A551" s="45" t="s">
        <v>520</v>
      </c>
      <c r="B551" s="45" t="s">
        <v>1217</v>
      </c>
    </row>
    <row r="552" spans="1:2" s="52" customFormat="1">
      <c r="A552" s="45" t="s">
        <v>521</v>
      </c>
      <c r="B552" s="45" t="s">
        <v>1218</v>
      </c>
    </row>
    <row r="553" spans="1:2" s="52" customFormat="1">
      <c r="A553" s="45" t="s">
        <v>465</v>
      </c>
      <c r="B553" s="45" t="s">
        <v>909</v>
      </c>
    </row>
    <row r="554" spans="1:2" s="52" customFormat="1">
      <c r="A554" s="45" t="s">
        <v>466</v>
      </c>
      <c r="B554" s="45" t="s">
        <v>1219</v>
      </c>
    </row>
    <row r="555" spans="1:2" s="52" customFormat="1">
      <c r="A555" s="45" t="s">
        <v>1269</v>
      </c>
      <c r="B555" s="45" t="s">
        <v>1270</v>
      </c>
    </row>
    <row r="556" spans="1:2" s="52" customFormat="1">
      <c r="A556" s="45" t="s">
        <v>1271</v>
      </c>
      <c r="B556" s="45" t="s">
        <v>1272</v>
      </c>
    </row>
    <row r="557" spans="1:2" s="52" customFormat="1">
      <c r="A557" s="45" t="s">
        <v>1220</v>
      </c>
      <c r="B557" s="45" t="s">
        <v>1221</v>
      </c>
    </row>
    <row r="558" spans="1:2" s="52" customFormat="1">
      <c r="A558" s="45" t="s">
        <v>467</v>
      </c>
      <c r="B558" s="45" t="s">
        <v>1222</v>
      </c>
    </row>
    <row r="559" spans="1:2" s="52" customFormat="1">
      <c r="A559" s="45" t="s">
        <v>468</v>
      </c>
      <c r="B559" s="45" t="s">
        <v>1223</v>
      </c>
    </row>
    <row r="560" spans="1:2" s="52" customFormat="1">
      <c r="A560" s="45" t="s">
        <v>522</v>
      </c>
      <c r="B560" s="45" t="s">
        <v>910</v>
      </c>
    </row>
    <row r="561" spans="1:2" s="52" customFormat="1">
      <c r="A561" s="45" t="s">
        <v>523</v>
      </c>
      <c r="B561" s="45" t="s">
        <v>911</v>
      </c>
    </row>
    <row r="562" spans="1:2" s="52" customFormat="1">
      <c r="A562" s="45" t="s">
        <v>524</v>
      </c>
      <c r="B562" s="45" t="s">
        <v>912</v>
      </c>
    </row>
    <row r="563" spans="1:2" s="52" customFormat="1">
      <c r="A563" s="45" t="s">
        <v>525</v>
      </c>
      <c r="B563" s="45" t="s">
        <v>913</v>
      </c>
    </row>
    <row r="564" spans="1:2" s="52" customFormat="1">
      <c r="A564" s="45" t="s">
        <v>526</v>
      </c>
      <c r="B564" s="45" t="s">
        <v>914</v>
      </c>
    </row>
    <row r="565" spans="1:2" s="52" customFormat="1">
      <c r="A565" s="45" t="s">
        <v>527</v>
      </c>
      <c r="B565" s="45" t="s">
        <v>915</v>
      </c>
    </row>
    <row r="566" spans="1:2" s="52" customFormat="1">
      <c r="A566" s="45" t="s">
        <v>528</v>
      </c>
      <c r="B566" s="45" t="s">
        <v>916</v>
      </c>
    </row>
    <row r="567" spans="1:2" s="52" customFormat="1">
      <c r="A567" s="45" t="s">
        <v>529</v>
      </c>
      <c r="B567" s="45" t="s">
        <v>917</v>
      </c>
    </row>
    <row r="568" spans="1:2" s="52" customFormat="1">
      <c r="A568" s="45" t="s">
        <v>530</v>
      </c>
      <c r="B568" s="45" t="s">
        <v>918</v>
      </c>
    </row>
    <row r="569" spans="1:2" s="52" customFormat="1">
      <c r="A569" s="45" t="s">
        <v>531</v>
      </c>
      <c r="B569" s="45" t="s">
        <v>919</v>
      </c>
    </row>
    <row r="570" spans="1:2" s="52" customFormat="1">
      <c r="A570" s="45" t="s">
        <v>532</v>
      </c>
      <c r="B570" s="45" t="s">
        <v>920</v>
      </c>
    </row>
    <row r="571" spans="1:2" s="52" customFormat="1">
      <c r="A571" s="45" t="s">
        <v>533</v>
      </c>
      <c r="B571" s="45" t="s">
        <v>921</v>
      </c>
    </row>
    <row r="572" spans="1:2" s="52" customFormat="1">
      <c r="A572" s="45" t="s">
        <v>534</v>
      </c>
      <c r="B572" s="45" t="s">
        <v>922</v>
      </c>
    </row>
    <row r="573" spans="1:2" s="52" customFormat="1">
      <c r="A573" s="45" t="s">
        <v>535</v>
      </c>
      <c r="B573" s="45" t="s">
        <v>923</v>
      </c>
    </row>
    <row r="574" spans="1:2" s="52" customFormat="1">
      <c r="A574" s="45" t="s">
        <v>536</v>
      </c>
      <c r="B574" s="45" t="s">
        <v>924</v>
      </c>
    </row>
    <row r="575" spans="1:2" s="52" customFormat="1">
      <c r="A575" s="45" t="s">
        <v>537</v>
      </c>
      <c r="B575" s="45" t="s">
        <v>925</v>
      </c>
    </row>
    <row r="576" spans="1:2" s="52" customFormat="1">
      <c r="A576" s="45" t="s">
        <v>538</v>
      </c>
      <c r="B576" s="45" t="s">
        <v>926</v>
      </c>
    </row>
    <row r="577" spans="1:2" s="52" customFormat="1">
      <c r="A577" s="45" t="s">
        <v>539</v>
      </c>
      <c r="B577" s="45" t="s">
        <v>927</v>
      </c>
    </row>
    <row r="578" spans="1:2" s="52" customFormat="1">
      <c r="A578" s="45" t="s">
        <v>540</v>
      </c>
      <c r="B578" s="45" t="s">
        <v>928</v>
      </c>
    </row>
    <row r="579" spans="1:2" s="52" customFormat="1">
      <c r="A579" s="45" t="s">
        <v>1389</v>
      </c>
      <c r="B579" s="45" t="s">
        <v>1390</v>
      </c>
    </row>
    <row r="580" spans="1:2" s="52" customFormat="1">
      <c r="A580" s="45" t="s">
        <v>34</v>
      </c>
      <c r="B580" s="45" t="s">
        <v>929</v>
      </c>
    </row>
    <row r="581" spans="1:2" s="52" customFormat="1">
      <c r="A581" s="45" t="s">
        <v>541</v>
      </c>
      <c r="B581" s="45" t="s">
        <v>930</v>
      </c>
    </row>
    <row r="582" spans="1:2" s="52" customFormat="1">
      <c r="A582" s="45" t="s">
        <v>542</v>
      </c>
      <c r="B582" s="45" t="s">
        <v>931</v>
      </c>
    </row>
    <row r="583" spans="1:2" s="52" customFormat="1">
      <c r="A583" s="45" t="s">
        <v>543</v>
      </c>
      <c r="B583" s="45" t="s">
        <v>932</v>
      </c>
    </row>
    <row r="584" spans="1:2" s="52" customFormat="1">
      <c r="A584" s="45" t="s">
        <v>544</v>
      </c>
      <c r="B584" s="45" t="s">
        <v>933</v>
      </c>
    </row>
    <row r="585" spans="1:2" s="52" customFormat="1">
      <c r="A585" s="45" t="s">
        <v>545</v>
      </c>
      <c r="B585" s="45" t="s">
        <v>934</v>
      </c>
    </row>
    <row r="586" spans="1:2" s="52" customFormat="1">
      <c r="A586" s="45" t="s">
        <v>546</v>
      </c>
      <c r="B586" s="45" t="s">
        <v>935</v>
      </c>
    </row>
    <row r="587" spans="1:2" s="52" customFormat="1">
      <c r="A587" s="45" t="s">
        <v>547</v>
      </c>
      <c r="B587" s="45" t="s">
        <v>936</v>
      </c>
    </row>
    <row r="588" spans="1:2" s="52" customFormat="1">
      <c r="A588" s="45" t="s">
        <v>548</v>
      </c>
      <c r="B588" s="45" t="s">
        <v>937</v>
      </c>
    </row>
    <row r="589" spans="1:2" s="52" customFormat="1">
      <c r="A589" s="45" t="s">
        <v>549</v>
      </c>
      <c r="B589" s="45" t="s">
        <v>938</v>
      </c>
    </row>
    <row r="590" spans="1:2" s="52" customFormat="1">
      <c r="A590" s="45" t="s">
        <v>550</v>
      </c>
      <c r="B590" s="45" t="s">
        <v>939</v>
      </c>
    </row>
    <row r="591" spans="1:2" s="52" customFormat="1">
      <c r="A591" s="45" t="s">
        <v>551</v>
      </c>
      <c r="B591" s="45" t="s">
        <v>940</v>
      </c>
    </row>
    <row r="592" spans="1:2" s="52" customFormat="1">
      <c r="A592" s="45" t="s">
        <v>552</v>
      </c>
      <c r="B592" s="45" t="s">
        <v>941</v>
      </c>
    </row>
    <row r="593" spans="1:2" s="52" customFormat="1">
      <c r="A593" s="45" t="s">
        <v>553</v>
      </c>
      <c r="B593" s="45" t="s">
        <v>942</v>
      </c>
    </row>
    <row r="594" spans="1:2" s="52" customFormat="1">
      <c r="A594" s="45" t="s">
        <v>554</v>
      </c>
      <c r="B594" s="45" t="s">
        <v>943</v>
      </c>
    </row>
    <row r="595" spans="1:2" s="52" customFormat="1">
      <c r="A595" s="45" t="s">
        <v>1273</v>
      </c>
      <c r="B595" s="45" t="s">
        <v>1274</v>
      </c>
    </row>
    <row r="596" spans="1:2" s="52" customFormat="1">
      <c r="A596" s="45" t="s">
        <v>1391</v>
      </c>
      <c r="B596" s="45" t="s">
        <v>1392</v>
      </c>
    </row>
    <row r="597" spans="1:2" s="52" customFormat="1">
      <c r="A597" s="45" t="s">
        <v>555</v>
      </c>
      <c r="B597" s="45" t="s">
        <v>944</v>
      </c>
    </row>
    <row r="598" spans="1:2" s="52" customFormat="1">
      <c r="A598" s="45" t="s">
        <v>556</v>
      </c>
      <c r="B598" s="45" t="s">
        <v>945</v>
      </c>
    </row>
    <row r="599" spans="1:2" s="52" customFormat="1">
      <c r="A599" s="45" t="s">
        <v>557</v>
      </c>
      <c r="B599" s="45" t="s">
        <v>946</v>
      </c>
    </row>
    <row r="600" spans="1:2" s="52" customFormat="1">
      <c r="A600" s="45" t="s">
        <v>558</v>
      </c>
      <c r="B600" s="45" t="s">
        <v>947</v>
      </c>
    </row>
    <row r="601" spans="1:2" s="52" customFormat="1">
      <c r="A601" s="45" t="s">
        <v>559</v>
      </c>
      <c r="B601" s="45" t="s">
        <v>948</v>
      </c>
    </row>
    <row r="602" spans="1:2" s="52" customFormat="1">
      <c r="A602" s="45" t="s">
        <v>560</v>
      </c>
      <c r="B602" s="45" t="s">
        <v>949</v>
      </c>
    </row>
    <row r="603" spans="1:2" s="52" customFormat="1">
      <c r="A603" s="45" t="s">
        <v>561</v>
      </c>
      <c r="B603" s="45" t="s">
        <v>950</v>
      </c>
    </row>
    <row r="604" spans="1:2" s="52" customFormat="1">
      <c r="A604" s="45" t="s">
        <v>562</v>
      </c>
      <c r="B604" s="45" t="s">
        <v>951</v>
      </c>
    </row>
    <row r="605" spans="1:2" s="52" customFormat="1">
      <c r="A605" s="45" t="s">
        <v>563</v>
      </c>
      <c r="B605" s="45" t="s">
        <v>952</v>
      </c>
    </row>
    <row r="606" spans="1:2" s="52" customFormat="1">
      <c r="A606" s="45" t="s">
        <v>564</v>
      </c>
      <c r="B606" s="45" t="s">
        <v>953</v>
      </c>
    </row>
    <row r="607" spans="1:2" s="52" customFormat="1">
      <c r="A607" s="45" t="s">
        <v>565</v>
      </c>
      <c r="B607" s="45" t="s">
        <v>954</v>
      </c>
    </row>
    <row r="608" spans="1:2" s="52" customFormat="1">
      <c r="A608" s="45" t="s">
        <v>566</v>
      </c>
      <c r="B608" s="45" t="s">
        <v>955</v>
      </c>
    </row>
    <row r="609" spans="1:2" s="52" customFormat="1">
      <c r="A609" s="45" t="s">
        <v>567</v>
      </c>
      <c r="B609" s="45" t="s">
        <v>956</v>
      </c>
    </row>
    <row r="610" spans="1:2" s="52" customFormat="1">
      <c r="A610" s="45" t="s">
        <v>568</v>
      </c>
      <c r="B610" s="45" t="s">
        <v>957</v>
      </c>
    </row>
    <row r="611" spans="1:2" s="52" customFormat="1">
      <c r="A611" s="45" t="s">
        <v>569</v>
      </c>
      <c r="B611" s="45" t="s">
        <v>1275</v>
      </c>
    </row>
    <row r="612" spans="1:2" s="52" customFormat="1">
      <c r="A612" s="45" t="s">
        <v>1393</v>
      </c>
      <c r="B612" s="45" t="s">
        <v>1394</v>
      </c>
    </row>
    <row r="613" spans="1:2" s="52" customFormat="1">
      <c r="A613" s="45" t="s">
        <v>1395</v>
      </c>
      <c r="B613" s="45" t="s">
        <v>1396</v>
      </c>
    </row>
    <row r="614" spans="1:2" s="52" customFormat="1">
      <c r="A614" s="45" t="s">
        <v>570</v>
      </c>
      <c r="B614" s="45" t="s">
        <v>958</v>
      </c>
    </row>
    <row r="615" spans="1:2" s="52" customFormat="1">
      <c r="A615" s="45" t="s">
        <v>571</v>
      </c>
      <c r="B615" s="45" t="s">
        <v>959</v>
      </c>
    </row>
    <row r="616" spans="1:2" s="52" customFormat="1">
      <c r="A616" s="45" t="s">
        <v>572</v>
      </c>
      <c r="B616" s="45" t="s">
        <v>960</v>
      </c>
    </row>
    <row r="617" spans="1:2" s="52" customFormat="1">
      <c r="A617" s="45" t="s">
        <v>573</v>
      </c>
      <c r="B617" s="45" t="s">
        <v>1224</v>
      </c>
    </row>
    <row r="618" spans="1:2" s="52" customFormat="1">
      <c r="A618" s="45" t="s">
        <v>574</v>
      </c>
      <c r="B618" s="45" t="s">
        <v>1225</v>
      </c>
    </row>
    <row r="619" spans="1:2" s="52" customFormat="1">
      <c r="A619" s="45" t="s">
        <v>575</v>
      </c>
      <c r="B619" s="45" t="s">
        <v>1226</v>
      </c>
    </row>
    <row r="620" spans="1:2" s="52" customFormat="1">
      <c r="A620" s="45" t="s">
        <v>576</v>
      </c>
      <c r="B620" s="45" t="s">
        <v>1227</v>
      </c>
    </row>
    <row r="621" spans="1:2" s="52" customFormat="1">
      <c r="A621" s="45" t="s">
        <v>577</v>
      </c>
      <c r="B621" s="45" t="s">
        <v>1228</v>
      </c>
    </row>
    <row r="622" spans="1:2" s="52" customFormat="1">
      <c r="A622" s="45" t="s">
        <v>578</v>
      </c>
      <c r="B622" s="45" t="s">
        <v>1229</v>
      </c>
    </row>
    <row r="623" spans="1:2" s="52" customFormat="1">
      <c r="A623" s="45" t="s">
        <v>579</v>
      </c>
      <c r="B623" s="45" t="s">
        <v>1230</v>
      </c>
    </row>
    <row r="624" spans="1:2" s="52" customFormat="1">
      <c r="A624" s="45" t="s">
        <v>580</v>
      </c>
      <c r="B624" s="45" t="s">
        <v>1231</v>
      </c>
    </row>
    <row r="625" spans="1:2" s="52" customFormat="1">
      <c r="A625" s="45" t="s">
        <v>581</v>
      </c>
      <c r="B625" s="45" t="s">
        <v>1232</v>
      </c>
    </row>
    <row r="626" spans="1:2" s="52" customFormat="1">
      <c r="A626" s="45" t="s">
        <v>1276</v>
      </c>
      <c r="B626" s="45" t="s">
        <v>1277</v>
      </c>
    </row>
    <row r="627" spans="1:2" s="52" customFormat="1">
      <c r="A627" s="45" t="s">
        <v>582</v>
      </c>
      <c r="B627" s="45" t="s">
        <v>961</v>
      </c>
    </row>
    <row r="628" spans="1:2" s="52" customFormat="1">
      <c r="A628" s="45" t="s">
        <v>583</v>
      </c>
      <c r="B628" s="45" t="s">
        <v>962</v>
      </c>
    </row>
    <row r="629" spans="1:2" s="52" customFormat="1">
      <c r="A629" s="45" t="s">
        <v>584</v>
      </c>
      <c r="B629" s="45" t="s">
        <v>963</v>
      </c>
    </row>
    <row r="630" spans="1:2" s="52" customFormat="1">
      <c r="A630" s="45" t="s">
        <v>585</v>
      </c>
      <c r="B630" s="45" t="s">
        <v>964</v>
      </c>
    </row>
    <row r="631" spans="1:2" s="52" customFormat="1">
      <c r="A631" s="45" t="s">
        <v>586</v>
      </c>
      <c r="B631" s="45" t="s">
        <v>965</v>
      </c>
    </row>
    <row r="632" spans="1:2" s="52" customFormat="1">
      <c r="A632" s="45" t="s">
        <v>587</v>
      </c>
      <c r="B632" s="45" t="s">
        <v>966</v>
      </c>
    </row>
    <row r="633" spans="1:2" s="52" customFormat="1">
      <c r="A633" s="45" t="s">
        <v>588</v>
      </c>
      <c r="B633" s="45" t="s">
        <v>966</v>
      </c>
    </row>
    <row r="634" spans="1:2" s="52" customFormat="1">
      <c r="A634" s="45" t="s">
        <v>589</v>
      </c>
      <c r="B634" s="45" t="s">
        <v>967</v>
      </c>
    </row>
    <row r="635" spans="1:2" s="52" customFormat="1">
      <c r="A635" s="45" t="s">
        <v>590</v>
      </c>
      <c r="B635" s="45" t="s">
        <v>968</v>
      </c>
    </row>
    <row r="636" spans="1:2" s="52" customFormat="1">
      <c r="A636" s="45" t="s">
        <v>591</v>
      </c>
      <c r="B636" s="45" t="s">
        <v>969</v>
      </c>
    </row>
    <row r="637" spans="1:2" s="52" customFormat="1">
      <c r="A637" s="45" t="s">
        <v>592</v>
      </c>
      <c r="B637" s="45" t="s">
        <v>970</v>
      </c>
    </row>
    <row r="638" spans="1:2" s="52" customFormat="1">
      <c r="A638" s="45" t="s">
        <v>593</v>
      </c>
      <c r="B638" s="45" t="s">
        <v>971</v>
      </c>
    </row>
    <row r="639" spans="1:2" s="52" customFormat="1">
      <c r="A639" s="45" t="s">
        <v>594</v>
      </c>
      <c r="B639" s="45" t="s">
        <v>972</v>
      </c>
    </row>
    <row r="640" spans="1:2" s="52" customFormat="1">
      <c r="A640" s="45" t="s">
        <v>595</v>
      </c>
      <c r="B640" s="45" t="s">
        <v>973</v>
      </c>
    </row>
    <row r="641" spans="1:2" s="52" customFormat="1">
      <c r="A641" s="45" t="s">
        <v>596</v>
      </c>
      <c r="B641" s="45" t="s">
        <v>974</v>
      </c>
    </row>
    <row r="642" spans="1:2" s="52" customFormat="1">
      <c r="A642" s="45" t="s">
        <v>597</v>
      </c>
      <c r="B642" s="45" t="s">
        <v>975</v>
      </c>
    </row>
    <row r="643" spans="1:2" s="52" customFormat="1">
      <c r="A643" s="45" t="s">
        <v>598</v>
      </c>
      <c r="B643" s="45" t="s">
        <v>976</v>
      </c>
    </row>
    <row r="644" spans="1:2" s="52" customFormat="1">
      <c r="A644" s="45" t="s">
        <v>599</v>
      </c>
      <c r="B644" s="45" t="s">
        <v>977</v>
      </c>
    </row>
    <row r="645" spans="1:2" s="52" customFormat="1">
      <c r="A645" s="45" t="s">
        <v>600</v>
      </c>
      <c r="B645" s="45" t="s">
        <v>978</v>
      </c>
    </row>
    <row r="646" spans="1:2" s="52" customFormat="1">
      <c r="A646" s="45" t="s">
        <v>601</v>
      </c>
      <c r="B646" s="45" t="s">
        <v>979</v>
      </c>
    </row>
    <row r="647" spans="1:2" s="52" customFormat="1">
      <c r="A647" s="45" t="s">
        <v>602</v>
      </c>
      <c r="B647" s="45" t="s">
        <v>980</v>
      </c>
    </row>
    <row r="648" spans="1:2" s="52" customFormat="1">
      <c r="A648" s="45" t="s">
        <v>1397</v>
      </c>
      <c r="B648" s="45" t="s">
        <v>1398</v>
      </c>
    </row>
    <row r="649" spans="1:2" s="52" customFormat="1">
      <c r="A649" s="45" t="s">
        <v>603</v>
      </c>
      <c r="B649" s="45" t="s">
        <v>981</v>
      </c>
    </row>
    <row r="650" spans="1:2" s="52" customFormat="1">
      <c r="A650" s="45" t="s">
        <v>604</v>
      </c>
      <c r="B650" s="45" t="s">
        <v>982</v>
      </c>
    </row>
    <row r="651" spans="1:2" s="52" customFormat="1">
      <c r="A651" s="45" t="s">
        <v>605</v>
      </c>
      <c r="B651" s="45" t="s">
        <v>983</v>
      </c>
    </row>
    <row r="652" spans="1:2" s="52" customFormat="1">
      <c r="A652" s="45" t="s">
        <v>606</v>
      </c>
      <c r="B652" s="45" t="s">
        <v>984</v>
      </c>
    </row>
    <row r="653" spans="1:2" s="52" customFormat="1">
      <c r="A653" s="45" t="s">
        <v>607</v>
      </c>
      <c r="B653" s="45" t="s">
        <v>985</v>
      </c>
    </row>
    <row r="654" spans="1:2" s="52" customFormat="1">
      <c r="A654" s="45" t="s">
        <v>608</v>
      </c>
      <c r="B654" s="45" t="s">
        <v>986</v>
      </c>
    </row>
    <row r="655" spans="1:2" s="52" customFormat="1">
      <c r="A655" s="45" t="s">
        <v>609</v>
      </c>
      <c r="B655" s="45" t="s">
        <v>1233</v>
      </c>
    </row>
    <row r="656" spans="1:2" s="52" customFormat="1">
      <c r="A656" s="45" t="s">
        <v>610</v>
      </c>
      <c r="B656" s="45" t="s">
        <v>1234</v>
      </c>
    </row>
    <row r="657" spans="1:2" s="52" customFormat="1">
      <c r="A657" s="45" t="s">
        <v>611</v>
      </c>
      <c r="B657" s="45" t="s">
        <v>987</v>
      </c>
    </row>
    <row r="658" spans="1:2" s="52" customFormat="1">
      <c r="A658" s="45" t="s">
        <v>612</v>
      </c>
      <c r="B658" s="45" t="s">
        <v>988</v>
      </c>
    </row>
    <row r="659" spans="1:2" s="52" customFormat="1">
      <c r="A659" s="45" t="s">
        <v>613</v>
      </c>
      <c r="B659" s="45" t="s">
        <v>989</v>
      </c>
    </row>
    <row r="660" spans="1:2" s="52" customFormat="1">
      <c r="A660" s="45" t="s">
        <v>614</v>
      </c>
      <c r="B660" s="45" t="s">
        <v>990</v>
      </c>
    </row>
    <row r="661" spans="1:2" s="52" customFormat="1">
      <c r="A661" s="45" t="s">
        <v>496</v>
      </c>
      <c r="B661" s="45" t="s">
        <v>1278</v>
      </c>
    </row>
    <row r="662" spans="1:2" s="52" customFormat="1">
      <c r="A662" s="45" t="s">
        <v>497</v>
      </c>
      <c r="B662" s="45" t="s">
        <v>1279</v>
      </c>
    </row>
    <row r="663" spans="1:2" s="52" customFormat="1">
      <c r="A663" s="45" t="s">
        <v>498</v>
      </c>
      <c r="B663" s="45" t="s">
        <v>1280</v>
      </c>
    </row>
    <row r="664" spans="1:2" s="52" customFormat="1">
      <c r="A664" s="45" t="s">
        <v>615</v>
      </c>
      <c r="B664" s="45" t="s">
        <v>991</v>
      </c>
    </row>
    <row r="665" spans="1:2" s="52" customFormat="1">
      <c r="A665" s="45" t="s">
        <v>616</v>
      </c>
      <c r="B665" s="45" t="s">
        <v>992</v>
      </c>
    </row>
    <row r="666" spans="1:2" s="52" customFormat="1">
      <c r="A666" s="45" t="s">
        <v>617</v>
      </c>
      <c r="B666" s="45" t="s">
        <v>993</v>
      </c>
    </row>
    <row r="667" spans="1:2" s="52" customFormat="1">
      <c r="A667" s="45" t="s">
        <v>618</v>
      </c>
      <c r="B667" s="45" t="s">
        <v>994</v>
      </c>
    </row>
    <row r="668" spans="1:2" s="52" customFormat="1">
      <c r="A668" s="45" t="s">
        <v>619</v>
      </c>
      <c r="B668" s="45" t="s">
        <v>995</v>
      </c>
    </row>
    <row r="669" spans="1:2" s="52" customFormat="1">
      <c r="A669" s="45" t="s">
        <v>620</v>
      </c>
      <c r="B669" s="45" t="s">
        <v>996</v>
      </c>
    </row>
    <row r="670" spans="1:2" s="52" customFormat="1">
      <c r="A670" s="46"/>
      <c r="B670" s="46" t="s">
        <v>1416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>
      <selection activeCell="B7" sqref="B7"/>
    </sheetView>
  </sheetViews>
  <sheetFormatPr defaultRowHeight="15"/>
  <cols>
    <col min="1" max="1" width="10" style="9" bestFit="1" customWidth="1"/>
    <col min="2" max="2" width="15.7109375" style="9" bestFit="1" customWidth="1"/>
    <col min="3" max="3" width="61.42578125" style="9" bestFit="1" customWidth="1"/>
    <col min="4" max="4" width="9" style="9" customWidth="1"/>
    <col min="5" max="5" width="21" style="9" bestFit="1" customWidth="1"/>
    <col min="6" max="10" width="9.140625" style="9"/>
    <col min="11" max="11" width="10.7109375" style="9" customWidth="1"/>
    <col min="12" max="16384" width="9.140625" style="9"/>
  </cols>
  <sheetData>
    <row r="1" spans="1:12">
      <c r="D1" s="19" t="s">
        <v>106</v>
      </c>
      <c r="E1" s="19" t="s">
        <v>100</v>
      </c>
      <c r="F1" s="19" t="s">
        <v>101</v>
      </c>
      <c r="G1" s="19" t="s">
        <v>102</v>
      </c>
      <c r="H1" s="19" t="s">
        <v>103</v>
      </c>
      <c r="I1" s="19" t="s">
        <v>104</v>
      </c>
      <c r="J1" s="19" t="s">
        <v>107</v>
      </c>
      <c r="K1" s="19" t="s">
        <v>105</v>
      </c>
      <c r="L1" s="19" t="s">
        <v>108</v>
      </c>
    </row>
    <row r="2" spans="1:12">
      <c r="B2" s="47" t="s">
        <v>1155</v>
      </c>
      <c r="C2" s="47" t="s">
        <v>1156</v>
      </c>
      <c r="D2" s="37">
        <f>SUM(K2:K2)</f>
        <v>0</v>
      </c>
      <c r="F2" s="9">
        <v>0</v>
      </c>
      <c r="G2" s="9">
        <v>0</v>
      </c>
      <c r="H2" s="9">
        <v>0</v>
      </c>
      <c r="I2" s="8">
        <v>0</v>
      </c>
      <c r="J2" s="8">
        <v>1.1000000000000001</v>
      </c>
      <c r="K2" s="21">
        <f>F2*G2*H2*I2*J2/10000</f>
        <v>0</v>
      </c>
      <c r="L2" s="22">
        <v>0.1</v>
      </c>
    </row>
    <row r="3" spans="1:12">
      <c r="A3" s="9" t="s">
        <v>6</v>
      </c>
      <c r="B3" s="7" t="s">
        <v>7</v>
      </c>
      <c r="C3" s="7" t="s">
        <v>1240</v>
      </c>
      <c r="D3" s="37">
        <f>SUM(K3:K3)</f>
        <v>0</v>
      </c>
      <c r="E3" s="8"/>
      <c r="F3" s="8">
        <v>0</v>
      </c>
      <c r="G3" s="8">
        <v>0</v>
      </c>
      <c r="H3" s="8">
        <v>0</v>
      </c>
      <c r="I3" s="8">
        <v>0</v>
      </c>
      <c r="J3" s="8">
        <v>1.1000000000000001</v>
      </c>
      <c r="K3" s="37">
        <f>F3*G3*H3*I3*J3/14000</f>
        <v>0</v>
      </c>
      <c r="L3" s="49">
        <v>0.1</v>
      </c>
    </row>
    <row r="4" spans="1:12">
      <c r="B4" s="7" t="s">
        <v>17</v>
      </c>
      <c r="C4" s="7" t="s">
        <v>18</v>
      </c>
      <c r="D4" s="37">
        <f>SUM(K4:K4)</f>
        <v>0</v>
      </c>
      <c r="I4" s="8"/>
      <c r="J4" s="8">
        <v>1.2</v>
      </c>
      <c r="K4" s="21">
        <f>F4*G4*H4*I4*J4/10000</f>
        <v>0</v>
      </c>
      <c r="L4" s="22">
        <v>0.2</v>
      </c>
    </row>
    <row r="5" spans="1:12">
      <c r="B5" s="7" t="s">
        <v>19</v>
      </c>
      <c r="C5" s="7" t="s">
        <v>20</v>
      </c>
      <c r="D5" s="48">
        <f>K5</f>
        <v>0</v>
      </c>
      <c r="F5" s="8">
        <v>0</v>
      </c>
      <c r="G5" s="8">
        <v>0</v>
      </c>
      <c r="H5" s="9">
        <v>1</v>
      </c>
      <c r="I5" s="8">
        <v>1</v>
      </c>
      <c r="J5" s="8">
        <v>1.2</v>
      </c>
      <c r="K5" s="21">
        <f>F5*G5*H5*I5*J5/10000</f>
        <v>0</v>
      </c>
      <c r="L5" s="22">
        <v>0.2</v>
      </c>
    </row>
    <row r="6" spans="1:12">
      <c r="B6" s="51" t="s">
        <v>15</v>
      </c>
      <c r="C6" s="51" t="s">
        <v>867</v>
      </c>
      <c r="D6" s="48"/>
      <c r="F6" s="8"/>
      <c r="G6" s="8"/>
      <c r="I6" s="8"/>
      <c r="J6" s="8">
        <v>1.2</v>
      </c>
      <c r="K6" s="21">
        <f>F6*G6*H6*I6*J6/10000</f>
        <v>0</v>
      </c>
      <c r="L6" s="22">
        <v>0.2</v>
      </c>
    </row>
    <row r="7" spans="1:12">
      <c r="B7" s="7" t="s">
        <v>1417</v>
      </c>
      <c r="C7" s="7" t="s">
        <v>131</v>
      </c>
      <c r="D7" s="37">
        <f>K7</f>
        <v>0</v>
      </c>
      <c r="F7" s="8">
        <v>0</v>
      </c>
      <c r="G7" s="8">
        <v>0</v>
      </c>
      <c r="H7" s="8">
        <v>1</v>
      </c>
      <c r="I7" s="8">
        <v>1</v>
      </c>
      <c r="J7" s="8">
        <v>1.2</v>
      </c>
      <c r="K7" s="21">
        <f>F7*G7*H7*I7*J7/10000*0.09</f>
        <v>0</v>
      </c>
      <c r="L7" s="22">
        <v>0.2</v>
      </c>
    </row>
    <row r="9" spans="1:12">
      <c r="D9" s="19" t="s">
        <v>106</v>
      </c>
      <c r="E9" s="19" t="s">
        <v>100</v>
      </c>
      <c r="F9" s="19" t="s">
        <v>101</v>
      </c>
      <c r="G9" s="19" t="s">
        <v>102</v>
      </c>
      <c r="H9" s="19" t="s">
        <v>103</v>
      </c>
      <c r="I9" s="19" t="s">
        <v>104</v>
      </c>
      <c r="J9" s="19" t="s">
        <v>107</v>
      </c>
      <c r="K9" s="19" t="s">
        <v>105</v>
      </c>
      <c r="L9" s="19" t="s">
        <v>108</v>
      </c>
    </row>
    <row r="10" spans="1:12">
      <c r="A10" s="9" t="s">
        <v>27</v>
      </c>
      <c r="B10" s="39" t="s">
        <v>1181</v>
      </c>
      <c r="C10" s="39" t="s">
        <v>812</v>
      </c>
      <c r="D10" s="37">
        <f>SUM(K10:K10)</f>
        <v>0</v>
      </c>
      <c r="F10" s="8">
        <v>0</v>
      </c>
      <c r="G10" s="8">
        <v>0</v>
      </c>
      <c r="H10" s="8">
        <v>0</v>
      </c>
      <c r="I10" s="8">
        <v>0</v>
      </c>
      <c r="J10" s="8">
        <v>1.1499999999999999</v>
      </c>
      <c r="K10" s="15">
        <f>F10*G10*H10*I10*J10/10000</f>
        <v>0</v>
      </c>
      <c r="L10" s="22">
        <v>0.15</v>
      </c>
    </row>
    <row r="11" spans="1:12">
      <c r="B11" s="7" t="s">
        <v>30</v>
      </c>
      <c r="C11" s="50" t="s">
        <v>31</v>
      </c>
      <c r="D11" s="37">
        <f>SUM(K11:K11)</f>
        <v>0</v>
      </c>
      <c r="F11" s="8">
        <v>0</v>
      </c>
      <c r="G11" s="8">
        <v>0</v>
      </c>
      <c r="H11" s="8">
        <v>0</v>
      </c>
      <c r="I11" s="8">
        <v>0</v>
      </c>
      <c r="J11" s="8">
        <v>1.1499999999999999</v>
      </c>
      <c r="K11" s="15">
        <f t="shared" ref="K11:K12" si="0">F11*G11*H11*I11*J11/10000</f>
        <v>0</v>
      </c>
      <c r="L11" s="22">
        <v>0.15</v>
      </c>
    </row>
    <row r="12" spans="1:12">
      <c r="B12" s="39" t="s">
        <v>1008</v>
      </c>
      <c r="C12" s="39" t="s">
        <v>1009</v>
      </c>
      <c r="D12" s="37">
        <f>SUM(K12:K12)</f>
        <v>0</v>
      </c>
      <c r="F12" s="8">
        <v>0</v>
      </c>
      <c r="G12" s="8">
        <v>0</v>
      </c>
      <c r="H12" s="8">
        <v>0</v>
      </c>
      <c r="I12" s="8">
        <v>0</v>
      </c>
      <c r="J12" s="8">
        <v>1.1499999999999999</v>
      </c>
      <c r="K12" s="15">
        <f t="shared" si="0"/>
        <v>0</v>
      </c>
      <c r="L12" s="22"/>
    </row>
    <row r="13" spans="1:12">
      <c r="B13" s="7" t="s">
        <v>32</v>
      </c>
      <c r="C13" s="7" t="s">
        <v>33</v>
      </c>
      <c r="D13" s="25">
        <f>SUM(K13:K13)</f>
        <v>0</v>
      </c>
      <c r="F13" s="8">
        <v>0</v>
      </c>
      <c r="G13" s="8">
        <v>0</v>
      </c>
      <c r="H13" s="8">
        <v>0</v>
      </c>
      <c r="I13" s="8">
        <v>0</v>
      </c>
      <c r="J13" s="8">
        <v>1.5</v>
      </c>
      <c r="K13" s="15">
        <f>F13*G13*H13*I13*J13/1000000</f>
        <v>0</v>
      </c>
      <c r="L13" s="22">
        <v>0.5</v>
      </c>
    </row>
    <row r="14" spans="1:12">
      <c r="B14" s="7"/>
      <c r="C14" s="7"/>
    </row>
    <row r="15" spans="1:12">
      <c r="D15" s="19" t="s">
        <v>106</v>
      </c>
      <c r="E15" s="19" t="s">
        <v>100</v>
      </c>
      <c r="F15" s="19" t="s">
        <v>101</v>
      </c>
      <c r="G15" s="19" t="s">
        <v>102</v>
      </c>
      <c r="H15" s="19" t="s">
        <v>103</v>
      </c>
      <c r="I15" s="19" t="s">
        <v>104</v>
      </c>
      <c r="J15" s="19" t="s">
        <v>107</v>
      </c>
      <c r="K15" s="19" t="s">
        <v>105</v>
      </c>
      <c r="L15" s="19" t="s">
        <v>108</v>
      </c>
    </row>
    <row r="16" spans="1:12">
      <c r="A16" s="9" t="s">
        <v>36</v>
      </c>
      <c r="B16" s="7" t="s">
        <v>37</v>
      </c>
      <c r="C16" s="7" t="s">
        <v>38</v>
      </c>
      <c r="D16" s="8">
        <f>K16</f>
        <v>0</v>
      </c>
      <c r="E16" s="8"/>
      <c r="F16" s="8">
        <v>0</v>
      </c>
      <c r="G16" s="8">
        <v>0</v>
      </c>
      <c r="H16" s="8">
        <v>0</v>
      </c>
      <c r="I16" s="8">
        <v>0</v>
      </c>
      <c r="J16" s="8">
        <v>1.1000000000000001</v>
      </c>
      <c r="K16" s="9">
        <f>F16*G16*H16*I16*J16/1000000</f>
        <v>0</v>
      </c>
      <c r="L16" s="22">
        <v>0.1</v>
      </c>
    </row>
    <row r="17" spans="1:12">
      <c r="B17" s="7" t="s">
        <v>39</v>
      </c>
      <c r="C17" s="7" t="s">
        <v>40</v>
      </c>
      <c r="D17" s="8">
        <f>SUM(K17:K17)</f>
        <v>0</v>
      </c>
      <c r="E17" s="8"/>
      <c r="I17" s="8"/>
      <c r="J17" s="8">
        <v>1.1000000000000001</v>
      </c>
      <c r="K17" s="9">
        <f t="shared" ref="K17:K20" si="1">F17*G17*H17*I17*J17/1000000</f>
        <v>0</v>
      </c>
      <c r="L17" s="22">
        <v>0.1</v>
      </c>
    </row>
    <row r="18" spans="1:12">
      <c r="B18" s="7" t="s">
        <v>41</v>
      </c>
      <c r="C18" s="7" t="s">
        <v>42</v>
      </c>
      <c r="D18" s="8">
        <f>K18</f>
        <v>0</v>
      </c>
      <c r="E18" s="8"/>
      <c r="F18" s="9">
        <v>0</v>
      </c>
      <c r="G18" s="9">
        <v>0</v>
      </c>
      <c r="H18" s="9">
        <v>0</v>
      </c>
      <c r="I18" s="8">
        <v>0</v>
      </c>
      <c r="J18" s="8">
        <v>1.1000000000000001</v>
      </c>
      <c r="K18" s="9">
        <f>F18*G18*H18*I18*J18/1000000</f>
        <v>0</v>
      </c>
    </row>
    <row r="19" spans="1:12">
      <c r="B19" s="8" t="s">
        <v>43</v>
      </c>
      <c r="C19" s="8" t="s">
        <v>44</v>
      </c>
      <c r="D19" s="8">
        <f>SUM(K19:K19)</f>
        <v>0</v>
      </c>
      <c r="E19" s="8"/>
      <c r="I19" s="8"/>
      <c r="J19" s="8">
        <v>1.1000000000000001</v>
      </c>
      <c r="K19" s="9">
        <f t="shared" si="1"/>
        <v>0</v>
      </c>
    </row>
    <row r="20" spans="1:12">
      <c r="B20" s="8" t="s">
        <v>45</v>
      </c>
      <c r="C20" s="8" t="s">
        <v>46</v>
      </c>
      <c r="D20" s="8">
        <f>K20</f>
        <v>0</v>
      </c>
      <c r="E20" s="8"/>
      <c r="I20" s="8"/>
      <c r="J20" s="8">
        <v>1.1000000000000001</v>
      </c>
      <c r="K20" s="9">
        <f t="shared" si="1"/>
        <v>0</v>
      </c>
      <c r="L20" s="22">
        <v>0.1</v>
      </c>
    </row>
    <row r="21" spans="1:12">
      <c r="B21" s="8"/>
      <c r="C21" s="8"/>
      <c r="D21" s="8"/>
      <c r="E21" s="8"/>
    </row>
    <row r="23" spans="1:12">
      <c r="D23" s="19" t="s">
        <v>106</v>
      </c>
      <c r="E23" s="19" t="s">
        <v>100</v>
      </c>
      <c r="F23" s="19" t="s">
        <v>101</v>
      </c>
      <c r="G23" s="19" t="s">
        <v>102</v>
      </c>
      <c r="H23" s="19" t="s">
        <v>103</v>
      </c>
      <c r="I23" s="19" t="s">
        <v>104</v>
      </c>
      <c r="J23" s="19" t="s">
        <v>107</v>
      </c>
      <c r="K23" s="19" t="s">
        <v>105</v>
      </c>
      <c r="L23" s="19" t="s">
        <v>108</v>
      </c>
    </row>
    <row r="24" spans="1:12">
      <c r="A24" s="9" t="s">
        <v>1239</v>
      </c>
      <c r="B24" s="39" t="s">
        <v>81</v>
      </c>
      <c r="C24" s="39" t="s">
        <v>664</v>
      </c>
      <c r="D24" s="25">
        <f>K24</f>
        <v>0</v>
      </c>
      <c r="F24" s="9">
        <v>0</v>
      </c>
      <c r="G24" s="9">
        <v>0</v>
      </c>
      <c r="H24" s="9">
        <v>0</v>
      </c>
      <c r="I24" s="8">
        <v>0</v>
      </c>
      <c r="J24" s="8">
        <v>1.1000000000000001</v>
      </c>
      <c r="K24" s="15">
        <f>F24*G24*H24*I24*J24/10000*0.18</f>
        <v>0</v>
      </c>
      <c r="L24" s="22">
        <v>0.1</v>
      </c>
    </row>
  </sheetData>
  <pageMargins left="0.7" right="0.7" top="0.75" bottom="0.75" header="0.3" footer="0.3"/>
  <pageSetup paperSize="9" orientation="portrait" verticalDpi="0" r:id="rId1"/>
  <ignoredErrors>
    <ignoredError sqref="K3 D17:D1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C16"/>
  <sheetViews>
    <sheetView workbookViewId="0">
      <selection activeCell="C2" sqref="C2"/>
    </sheetView>
  </sheetViews>
  <sheetFormatPr defaultRowHeight="12.75"/>
  <cols>
    <col min="1" max="1" width="14.7109375" style="28" bestFit="1" customWidth="1"/>
    <col min="2" max="2" width="61.42578125" style="28" bestFit="1" customWidth="1"/>
    <col min="3" max="3" width="9.42578125" style="28" bestFit="1" customWidth="1"/>
    <col min="4" max="16384" width="9.140625" style="28"/>
  </cols>
  <sheetData>
    <row r="2" spans="1:3">
      <c r="A2" s="27" t="s">
        <v>1181</v>
      </c>
      <c r="B2" s="27" t="s">
        <v>812</v>
      </c>
      <c r="C2" s="33">
        <v>0.18756500000000001</v>
      </c>
    </row>
    <row r="3" spans="1:3">
      <c r="A3" s="27" t="s">
        <v>32</v>
      </c>
      <c r="B3" s="27" t="s">
        <v>33</v>
      </c>
      <c r="C3" s="33">
        <v>2.8349999999999998E-3</v>
      </c>
    </row>
    <row r="4" spans="1:3">
      <c r="A4" s="27" t="s">
        <v>30</v>
      </c>
      <c r="B4" s="27" t="s">
        <v>31</v>
      </c>
      <c r="C4" s="33">
        <v>0.43313600000000002</v>
      </c>
    </row>
    <row r="5" spans="1:3">
      <c r="A5" s="27" t="s">
        <v>1008</v>
      </c>
      <c r="B5" s="27" t="s">
        <v>1009</v>
      </c>
      <c r="C5" s="33">
        <v>0.34327039999999998</v>
      </c>
    </row>
    <row r="6" spans="1:3">
      <c r="A6" s="27" t="s">
        <v>52</v>
      </c>
      <c r="B6" s="27" t="s">
        <v>53</v>
      </c>
      <c r="C6" s="28">
        <v>875</v>
      </c>
    </row>
    <row r="7" spans="1:3">
      <c r="A7" s="27" t="s">
        <v>50</v>
      </c>
      <c r="B7" s="27" t="s">
        <v>51</v>
      </c>
      <c r="C7" s="28">
        <v>46</v>
      </c>
    </row>
    <row r="8" spans="1:3">
      <c r="A8" s="27" t="s">
        <v>1155</v>
      </c>
      <c r="B8" s="27" t="s">
        <v>1156</v>
      </c>
      <c r="C8" s="33">
        <v>1.5290000000000004</v>
      </c>
    </row>
    <row r="9" spans="1:3">
      <c r="A9" s="27" t="s">
        <v>41</v>
      </c>
      <c r="B9" s="27" t="s">
        <v>42</v>
      </c>
      <c r="C9" s="28">
        <v>1.35432E-2</v>
      </c>
    </row>
    <row r="10" spans="1:3">
      <c r="A10" s="27" t="s">
        <v>37</v>
      </c>
      <c r="B10" s="27" t="s">
        <v>38</v>
      </c>
      <c r="C10" s="28">
        <v>1.7248000000000001E-3</v>
      </c>
    </row>
    <row r="11" spans="1:3">
      <c r="A11" s="27" t="s">
        <v>19</v>
      </c>
      <c r="B11" s="27" t="s">
        <v>866</v>
      </c>
      <c r="C11" s="28">
        <v>0.58300000000000007</v>
      </c>
    </row>
    <row r="12" spans="1:3">
      <c r="A12" s="27" t="s">
        <v>225</v>
      </c>
      <c r="B12" s="27" t="s">
        <v>684</v>
      </c>
      <c r="C12" s="28">
        <v>4</v>
      </c>
    </row>
    <row r="13" spans="1:3">
      <c r="A13" s="27" t="s">
        <v>81</v>
      </c>
      <c r="B13" s="27" t="s">
        <v>664</v>
      </c>
      <c r="C13" s="28">
        <v>0.2772</v>
      </c>
    </row>
    <row r="14" spans="1:3">
      <c r="A14" s="27" t="s">
        <v>85</v>
      </c>
      <c r="B14" s="27" t="s">
        <v>472</v>
      </c>
      <c r="C14" s="28">
        <v>20</v>
      </c>
    </row>
    <row r="15" spans="1:3">
      <c r="A15" s="27" t="s">
        <v>68</v>
      </c>
      <c r="B15" s="27" t="s">
        <v>69</v>
      </c>
      <c r="C15" s="28">
        <v>1</v>
      </c>
    </row>
    <row r="16" spans="1:3">
      <c r="A16" s="27" t="s">
        <v>97</v>
      </c>
      <c r="B16" s="27" t="s">
        <v>98</v>
      </c>
      <c r="C16" s="28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4"/>
  <sheetViews>
    <sheetView workbookViewId="0">
      <selection activeCell="I9" sqref="I9"/>
    </sheetView>
  </sheetViews>
  <sheetFormatPr defaultRowHeight="15"/>
  <cols>
    <col min="1" max="1" width="11.85546875" style="9" bestFit="1" customWidth="1"/>
    <col min="2" max="2" width="16.140625" style="9" bestFit="1" customWidth="1"/>
    <col min="3" max="3" width="62.140625" style="9" bestFit="1" customWidth="1"/>
    <col min="4" max="8" width="9.140625" style="9"/>
    <col min="9" max="9" width="11.140625" style="9" bestFit="1" customWidth="1"/>
    <col min="10" max="16384" width="9.140625" style="9"/>
  </cols>
  <sheetData>
    <row r="1" spans="1:10">
      <c r="A1" s="9" t="s">
        <v>142</v>
      </c>
      <c r="D1" s="8" t="s">
        <v>0</v>
      </c>
      <c r="E1" s="10" t="s">
        <v>1</v>
      </c>
      <c r="F1" s="11" t="s">
        <v>2</v>
      </c>
      <c r="G1" s="12" t="s">
        <v>3</v>
      </c>
      <c r="H1" s="13" t="s">
        <v>4</v>
      </c>
      <c r="I1" s="14" t="s">
        <v>5</v>
      </c>
    </row>
    <row r="2" spans="1:10">
      <c r="A2" s="9" t="s">
        <v>6</v>
      </c>
      <c r="B2" s="4" t="s">
        <v>7</v>
      </c>
      <c r="C2" s="4" t="s">
        <v>8</v>
      </c>
      <c r="D2" s="8"/>
      <c r="E2" s="8"/>
      <c r="F2" s="8"/>
      <c r="G2" s="8"/>
      <c r="H2" s="8"/>
      <c r="I2" s="8"/>
      <c r="J2" s="8"/>
    </row>
    <row r="3" spans="1:10">
      <c r="B3" s="4" t="s">
        <v>9</v>
      </c>
      <c r="C3" s="4" t="s">
        <v>10</v>
      </c>
      <c r="D3" s="8"/>
      <c r="E3" s="8"/>
      <c r="F3" s="8"/>
      <c r="G3" s="8"/>
      <c r="H3" s="8"/>
      <c r="I3" s="8"/>
      <c r="J3" s="8"/>
    </row>
    <row r="4" spans="1:10">
      <c r="B4" s="4" t="s">
        <v>11</v>
      </c>
      <c r="C4" s="4" t="s">
        <v>12</v>
      </c>
      <c r="D4" s="8"/>
      <c r="E4" s="8"/>
      <c r="F4" s="8"/>
      <c r="G4" s="8"/>
      <c r="H4" s="8"/>
      <c r="I4" s="8"/>
      <c r="J4" s="8"/>
    </row>
    <row r="5" spans="1:10">
      <c r="B5" s="4" t="s">
        <v>13</v>
      </c>
      <c r="C5" s="4" t="s">
        <v>14</v>
      </c>
      <c r="D5" s="8"/>
      <c r="E5" s="8"/>
      <c r="F5" s="8"/>
      <c r="G5" s="8"/>
      <c r="H5" s="8"/>
      <c r="I5" s="8"/>
      <c r="J5" s="8"/>
    </row>
    <row r="6" spans="1:10">
      <c r="B6" s="5" t="s">
        <v>15</v>
      </c>
      <c r="C6" s="5" t="s">
        <v>16</v>
      </c>
      <c r="D6" s="15"/>
      <c r="E6" s="8"/>
      <c r="F6" s="8"/>
      <c r="G6" s="8"/>
      <c r="H6" s="8"/>
      <c r="I6" s="8"/>
      <c r="J6" s="8"/>
    </row>
    <row r="7" spans="1:10">
      <c r="B7" s="5" t="s">
        <v>17</v>
      </c>
      <c r="C7" s="5" t="s">
        <v>18</v>
      </c>
      <c r="D7" s="15"/>
      <c r="E7" s="8"/>
      <c r="F7" s="8"/>
      <c r="G7" s="8"/>
      <c r="H7" s="8"/>
      <c r="I7" s="8"/>
      <c r="J7" s="8"/>
    </row>
    <row r="8" spans="1:10">
      <c r="B8" s="5" t="s">
        <v>19</v>
      </c>
      <c r="C8" s="5" t="s">
        <v>20</v>
      </c>
      <c r="D8" s="8"/>
      <c r="E8" s="8"/>
      <c r="F8" s="8"/>
      <c r="G8" s="8"/>
      <c r="H8" s="8"/>
      <c r="I8" s="8"/>
      <c r="J8" s="8"/>
    </row>
    <row r="9" spans="1:10">
      <c r="B9" s="5" t="s">
        <v>21</v>
      </c>
      <c r="C9" s="5" t="s">
        <v>22</v>
      </c>
      <c r="D9" s="8"/>
      <c r="E9" s="8"/>
      <c r="F9" s="8"/>
      <c r="G9" s="8"/>
      <c r="H9" s="8"/>
      <c r="I9" s="8"/>
      <c r="J9" s="8"/>
    </row>
    <row r="10" spans="1:10">
      <c r="B10" s="5" t="s">
        <v>23</v>
      </c>
      <c r="C10" s="5" t="s">
        <v>24</v>
      </c>
      <c r="D10" s="8"/>
      <c r="E10" s="8"/>
      <c r="F10" s="8"/>
      <c r="G10" s="8"/>
      <c r="H10" s="8"/>
      <c r="I10" s="8"/>
      <c r="J10" s="8"/>
    </row>
    <row r="11" spans="1:10">
      <c r="B11" s="5" t="s">
        <v>25</v>
      </c>
      <c r="C11" s="5" t="s">
        <v>26</v>
      </c>
      <c r="D11" s="8"/>
      <c r="E11" s="8"/>
      <c r="F11" s="8"/>
      <c r="G11" s="8"/>
      <c r="H11" s="8"/>
      <c r="I11" s="8"/>
      <c r="J11" s="8"/>
    </row>
    <row r="12" spans="1:10">
      <c r="E12" s="8"/>
      <c r="F12" s="8"/>
      <c r="G12" s="8"/>
      <c r="H12" s="8"/>
      <c r="I12" s="8"/>
      <c r="J12" s="8"/>
    </row>
    <row r="13" spans="1:10">
      <c r="A13" s="9" t="s">
        <v>27</v>
      </c>
      <c r="B13" s="6" t="s">
        <v>28</v>
      </c>
      <c r="C13" s="6" t="s">
        <v>29</v>
      </c>
      <c r="D13" s="8"/>
      <c r="E13" s="8"/>
      <c r="F13" s="8"/>
      <c r="G13" s="8"/>
      <c r="H13" s="8"/>
      <c r="I13" s="8"/>
      <c r="J13" s="8"/>
    </row>
    <row r="14" spans="1:10">
      <c r="B14" s="6" t="s">
        <v>30</v>
      </c>
      <c r="C14" s="6" t="s">
        <v>31</v>
      </c>
      <c r="D14" s="8"/>
      <c r="E14" s="8"/>
      <c r="F14" s="8"/>
      <c r="G14" s="8"/>
      <c r="H14" s="8"/>
      <c r="I14" s="8"/>
      <c r="J14" s="8"/>
    </row>
    <row r="15" spans="1:10">
      <c r="B15" s="6" t="s">
        <v>32</v>
      </c>
      <c r="C15" s="6" t="s">
        <v>33</v>
      </c>
      <c r="D15" s="8"/>
      <c r="E15" s="8"/>
      <c r="F15" s="8"/>
      <c r="G15" s="8"/>
      <c r="H15" s="8"/>
      <c r="I15" s="8"/>
      <c r="J15" s="8"/>
    </row>
    <row r="16" spans="1:10">
      <c r="B16" s="6" t="s">
        <v>34</v>
      </c>
      <c r="C16" s="6" t="s">
        <v>35</v>
      </c>
      <c r="D16" s="8"/>
      <c r="E16" s="8"/>
      <c r="F16" s="8"/>
      <c r="G16" s="8"/>
      <c r="H16" s="8"/>
      <c r="I16" s="8"/>
      <c r="J16" s="8"/>
    </row>
    <row r="17" spans="1:10">
      <c r="A17" s="8"/>
      <c r="B17" s="7"/>
      <c r="C17" s="7"/>
      <c r="E17" s="8"/>
      <c r="F17" s="8"/>
      <c r="G17" s="8"/>
      <c r="H17" s="8"/>
      <c r="I17" s="8"/>
      <c r="J17" s="8"/>
    </row>
    <row r="18" spans="1:10">
      <c r="A18" s="9" t="s">
        <v>36</v>
      </c>
      <c r="B18" s="5" t="s">
        <v>37</v>
      </c>
      <c r="C18" s="5" t="s">
        <v>38</v>
      </c>
      <c r="D18" s="8"/>
      <c r="E18" s="8"/>
      <c r="F18" s="8"/>
      <c r="G18" s="8"/>
      <c r="H18" s="8"/>
      <c r="I18" s="8"/>
      <c r="J18" s="8"/>
    </row>
    <row r="19" spans="1:10">
      <c r="B19" s="5" t="s">
        <v>39</v>
      </c>
      <c r="C19" s="5" t="s">
        <v>40</v>
      </c>
      <c r="D19" s="8"/>
    </row>
    <row r="20" spans="1:10">
      <c r="B20" s="5" t="s">
        <v>41</v>
      </c>
      <c r="C20" s="5" t="s">
        <v>42</v>
      </c>
      <c r="D20" s="8"/>
      <c r="E20" s="8"/>
      <c r="F20" s="8"/>
      <c r="G20" s="8"/>
      <c r="H20" s="8"/>
      <c r="I20" s="8"/>
      <c r="J20" s="8"/>
    </row>
    <row r="21" spans="1:10">
      <c r="B21" s="13" t="s">
        <v>43</v>
      </c>
      <c r="C21" s="13" t="s">
        <v>44</v>
      </c>
      <c r="D21" s="8"/>
      <c r="E21" s="8"/>
      <c r="F21" s="8"/>
      <c r="G21" s="8"/>
      <c r="H21" s="8"/>
      <c r="I21" s="8"/>
      <c r="J21" s="8"/>
    </row>
    <row r="22" spans="1:10">
      <c r="B22" s="13" t="s">
        <v>45</v>
      </c>
      <c r="C22" s="13" t="s">
        <v>46</v>
      </c>
      <c r="D22" s="8"/>
      <c r="E22" s="8"/>
      <c r="F22" s="8"/>
      <c r="G22" s="8"/>
      <c r="H22" s="8"/>
      <c r="I22" s="8"/>
      <c r="J22" s="8"/>
    </row>
    <row r="23" spans="1:10">
      <c r="B23" s="13" t="s">
        <v>47</v>
      </c>
      <c r="C23" s="13" t="s">
        <v>48</v>
      </c>
      <c r="D23" s="8"/>
      <c r="E23" s="8"/>
      <c r="F23" s="8"/>
      <c r="G23" s="8"/>
      <c r="H23" s="8"/>
      <c r="I23" s="8"/>
      <c r="J23" s="8"/>
    </row>
    <row r="24" spans="1:10">
      <c r="A24" s="8"/>
      <c r="B24" s="7"/>
      <c r="C24" s="7"/>
      <c r="E24" s="8"/>
      <c r="F24" s="8"/>
      <c r="G24" s="8"/>
      <c r="H24" s="8"/>
      <c r="I24" s="8"/>
      <c r="J24" s="8"/>
    </row>
    <row r="25" spans="1:10">
      <c r="A25" s="8" t="s">
        <v>49</v>
      </c>
      <c r="B25" s="6" t="s">
        <v>50</v>
      </c>
      <c r="C25" s="6" t="s">
        <v>51</v>
      </c>
      <c r="D25" s="8"/>
      <c r="E25" s="8"/>
      <c r="F25" s="8"/>
      <c r="G25" s="8"/>
      <c r="H25" s="8"/>
      <c r="I25" s="8"/>
      <c r="J25" s="8"/>
    </row>
    <row r="26" spans="1:10">
      <c r="A26" s="8"/>
      <c r="B26" s="5" t="s">
        <v>52</v>
      </c>
      <c r="C26" s="5" t="s">
        <v>53</v>
      </c>
      <c r="D26" s="3"/>
      <c r="E26" s="8"/>
      <c r="F26" s="8"/>
      <c r="G26" s="8"/>
      <c r="H26" s="8"/>
      <c r="I26" s="8"/>
      <c r="J26" s="8"/>
    </row>
    <row r="27" spans="1:10">
      <c r="A27" s="14"/>
      <c r="B27" s="6" t="s">
        <v>54</v>
      </c>
      <c r="C27" s="6" t="s">
        <v>55</v>
      </c>
      <c r="D27" s="3"/>
      <c r="E27" s="8"/>
      <c r="F27" s="8"/>
      <c r="G27" s="8"/>
      <c r="H27" s="8"/>
      <c r="I27" s="8"/>
      <c r="J27" s="8"/>
    </row>
    <row r="28" spans="1:10">
      <c r="A28" s="8"/>
      <c r="B28" s="6" t="s">
        <v>56</v>
      </c>
      <c r="C28" s="6" t="s">
        <v>57</v>
      </c>
      <c r="D28" s="3"/>
      <c r="E28" s="8"/>
      <c r="F28" s="8"/>
      <c r="G28" s="8"/>
      <c r="H28" s="8"/>
      <c r="I28" s="8"/>
      <c r="J28" s="8"/>
    </row>
    <row r="29" spans="1:10">
      <c r="A29" s="8"/>
      <c r="B29" s="5" t="s">
        <v>58</v>
      </c>
      <c r="C29" s="5" t="s">
        <v>59</v>
      </c>
      <c r="D29" s="3"/>
      <c r="E29" s="8"/>
      <c r="F29" s="8"/>
      <c r="G29" s="8"/>
      <c r="H29" s="8"/>
      <c r="I29" s="8"/>
      <c r="J29" s="8"/>
    </row>
    <row r="30" spans="1:10">
      <c r="A30" s="8"/>
      <c r="B30" s="5" t="s">
        <v>60</v>
      </c>
      <c r="C30" s="5" t="s">
        <v>61</v>
      </c>
      <c r="D30" s="3"/>
      <c r="E30" s="8"/>
      <c r="F30" s="8"/>
      <c r="G30" s="8"/>
      <c r="H30" s="8"/>
      <c r="I30" s="8"/>
      <c r="J30" s="8"/>
    </row>
    <row r="31" spans="1:10">
      <c r="A31" s="8"/>
      <c r="B31" s="5" t="s">
        <v>62</v>
      </c>
      <c r="C31" s="5" t="s">
        <v>63</v>
      </c>
      <c r="D31" s="3"/>
      <c r="E31" s="8"/>
      <c r="F31" s="8"/>
      <c r="G31" s="8"/>
      <c r="H31" s="8"/>
      <c r="I31" s="8"/>
      <c r="J31" s="8"/>
    </row>
    <row r="32" spans="1:10">
      <c r="A32" s="8"/>
      <c r="B32" s="7"/>
      <c r="C32" s="7"/>
      <c r="E32" s="8"/>
      <c r="F32" s="8"/>
      <c r="G32" s="8"/>
      <c r="H32" s="8"/>
      <c r="I32" s="8"/>
      <c r="J32" s="8"/>
    </row>
    <row r="33" spans="1:10">
      <c r="A33" s="8"/>
      <c r="B33" s="4" t="s">
        <v>64</v>
      </c>
      <c r="C33" s="4" t="s">
        <v>65</v>
      </c>
      <c r="D33" s="3"/>
      <c r="E33" s="8"/>
      <c r="F33" s="8"/>
      <c r="G33" s="8"/>
      <c r="H33" s="8"/>
      <c r="I33" s="8"/>
      <c r="J33" s="8"/>
    </row>
    <row r="34" spans="1:10">
      <c r="A34" s="8"/>
      <c r="B34" s="4" t="s">
        <v>66</v>
      </c>
      <c r="C34" s="4" t="s">
        <v>67</v>
      </c>
      <c r="D34" s="3"/>
      <c r="E34" s="8"/>
      <c r="F34" s="8"/>
      <c r="G34" s="8"/>
      <c r="H34" s="8"/>
      <c r="I34" s="8"/>
      <c r="J34" s="8"/>
    </row>
    <row r="35" spans="1:10">
      <c r="A35" s="8"/>
      <c r="B35" s="4" t="s">
        <v>68</v>
      </c>
      <c r="C35" s="4" t="s">
        <v>69</v>
      </c>
      <c r="D35" s="3"/>
      <c r="E35" s="8"/>
      <c r="F35" s="8"/>
      <c r="G35" s="8"/>
      <c r="H35" s="8"/>
      <c r="I35" s="8"/>
      <c r="J35" s="8"/>
    </row>
    <row r="36" spans="1:10">
      <c r="A36" s="8"/>
      <c r="B36" s="1" t="s">
        <v>70</v>
      </c>
      <c r="C36" s="1" t="s">
        <v>71</v>
      </c>
      <c r="D36" s="3"/>
      <c r="E36" s="8"/>
      <c r="F36" s="8"/>
      <c r="G36" s="8"/>
      <c r="H36" s="8"/>
      <c r="I36" s="8"/>
      <c r="J36" s="8"/>
    </row>
    <row r="37" spans="1:10">
      <c r="A37" s="8"/>
      <c r="B37" s="4" t="s">
        <v>72</v>
      </c>
      <c r="C37" s="4" t="s">
        <v>73</v>
      </c>
      <c r="D37" s="3"/>
      <c r="E37" s="8"/>
      <c r="F37" s="8"/>
      <c r="G37" s="8"/>
      <c r="H37" s="8"/>
      <c r="I37" s="8"/>
      <c r="J37" s="8"/>
    </row>
    <row r="38" spans="1:10">
      <c r="A38" s="8"/>
      <c r="B38" s="4" t="s">
        <v>74</v>
      </c>
      <c r="C38" s="4" t="s">
        <v>75</v>
      </c>
      <c r="D38" s="3"/>
      <c r="E38" s="8"/>
      <c r="F38" s="8"/>
      <c r="G38" s="8"/>
      <c r="H38" s="8"/>
      <c r="I38" s="8"/>
      <c r="J38" s="8"/>
    </row>
    <row r="39" spans="1:10">
      <c r="A39" s="8"/>
      <c r="B39" s="4" t="s">
        <v>76</v>
      </c>
      <c r="C39" s="4" t="s">
        <v>77</v>
      </c>
      <c r="D39" s="3"/>
      <c r="E39" s="8"/>
      <c r="F39" s="8"/>
      <c r="G39" s="8"/>
      <c r="H39" s="8"/>
      <c r="I39" s="8"/>
      <c r="J39" s="8"/>
    </row>
    <row r="40" spans="1:10">
      <c r="A40" s="8"/>
      <c r="B40" s="4" t="s">
        <v>78</v>
      </c>
      <c r="C40" s="4" t="s">
        <v>79</v>
      </c>
      <c r="D40" s="3"/>
      <c r="E40" s="8"/>
      <c r="F40" s="8"/>
      <c r="G40" s="8"/>
      <c r="H40" s="8"/>
      <c r="I40" s="8"/>
      <c r="J40" s="8"/>
    </row>
    <row r="41" spans="1:10">
      <c r="A41" s="8"/>
      <c r="B41" s="7"/>
      <c r="C41" s="7"/>
      <c r="E41" s="8"/>
      <c r="F41" s="8"/>
      <c r="G41" s="8"/>
      <c r="H41" s="8"/>
      <c r="I41" s="8"/>
      <c r="J41" s="8"/>
    </row>
    <row r="42" spans="1:10">
      <c r="A42" s="9" t="s">
        <v>80</v>
      </c>
      <c r="B42" s="1" t="s">
        <v>81</v>
      </c>
      <c r="C42" s="1" t="s">
        <v>82</v>
      </c>
      <c r="D42" s="3"/>
      <c r="E42" s="8"/>
      <c r="F42" s="8"/>
      <c r="G42" s="8"/>
      <c r="H42" s="8"/>
      <c r="I42" s="8"/>
      <c r="J42" s="8"/>
    </row>
    <row r="43" spans="1:10">
      <c r="B43" s="1" t="s">
        <v>83</v>
      </c>
      <c r="C43" s="1" t="s">
        <v>84</v>
      </c>
      <c r="D43" s="3"/>
      <c r="E43" s="8"/>
      <c r="F43" s="8"/>
      <c r="G43" s="8"/>
      <c r="H43" s="8"/>
      <c r="I43" s="8"/>
      <c r="J43" s="8"/>
    </row>
    <row r="44" spans="1:10">
      <c r="B44" s="16" t="s">
        <v>85</v>
      </c>
      <c r="C44" s="16" t="s">
        <v>86</v>
      </c>
      <c r="D44" s="2"/>
      <c r="E44" s="8"/>
      <c r="F44" s="8"/>
      <c r="G44" s="8"/>
      <c r="H44" s="8"/>
      <c r="I44" s="8"/>
      <c r="J44" s="8"/>
    </row>
    <row r="45" spans="1:10">
      <c r="B45" s="16" t="s">
        <v>87</v>
      </c>
      <c r="C45" s="16" t="s">
        <v>88</v>
      </c>
      <c r="D45" s="2"/>
      <c r="E45" s="8"/>
      <c r="F45" s="8"/>
      <c r="G45" s="8"/>
      <c r="H45" s="8"/>
      <c r="I45" s="8"/>
      <c r="J45" s="8"/>
    </row>
    <row r="46" spans="1:10">
      <c r="B46" s="1" t="s">
        <v>89</v>
      </c>
      <c r="C46" s="16" t="s">
        <v>90</v>
      </c>
      <c r="D46" s="2"/>
      <c r="E46" s="8"/>
      <c r="F46" s="8"/>
      <c r="G46" s="8"/>
      <c r="H46" s="8"/>
      <c r="I46" s="8"/>
      <c r="J46" s="8"/>
    </row>
    <row r="47" spans="1:10">
      <c r="B47" s="1" t="s">
        <v>91</v>
      </c>
      <c r="C47" s="16" t="s">
        <v>92</v>
      </c>
      <c r="D47" s="2"/>
      <c r="E47" s="8"/>
      <c r="F47" s="8"/>
      <c r="G47" s="8"/>
      <c r="H47" s="8"/>
      <c r="I47" s="8"/>
      <c r="J47" s="8"/>
    </row>
    <row r="48" spans="1:10">
      <c r="B48" s="1" t="s">
        <v>93</v>
      </c>
      <c r="C48" s="16" t="s">
        <v>94</v>
      </c>
      <c r="D48" s="2"/>
      <c r="E48" s="8"/>
      <c r="F48" s="8"/>
      <c r="G48" s="8"/>
      <c r="H48" s="8"/>
      <c r="I48" s="8"/>
      <c r="J48" s="8"/>
    </row>
    <row r="49" spans="2:10">
      <c r="B49" s="1"/>
      <c r="C49" s="16"/>
      <c r="D49" s="2"/>
      <c r="E49" s="8"/>
      <c r="F49" s="8"/>
      <c r="G49" s="8"/>
      <c r="H49" s="8"/>
      <c r="I49" s="8"/>
      <c r="J49" s="8"/>
    </row>
    <row r="50" spans="2:10">
      <c r="B50" s="17"/>
      <c r="C50" s="17"/>
      <c r="D50" s="2"/>
      <c r="E50" s="8"/>
      <c r="F50" s="8"/>
      <c r="G50" s="8"/>
      <c r="H50" s="8"/>
      <c r="I50" s="8"/>
      <c r="J50" s="8"/>
    </row>
    <row r="51" spans="2:10">
      <c r="B51" s="17" t="s">
        <v>95</v>
      </c>
      <c r="C51" s="17" t="s">
        <v>96</v>
      </c>
      <c r="D51" s="2"/>
      <c r="E51" s="8"/>
      <c r="F51" s="8"/>
      <c r="G51" s="8"/>
      <c r="H51" s="8"/>
      <c r="I51" s="8"/>
      <c r="J51" s="8"/>
    </row>
    <row r="52" spans="2:10">
      <c r="B52" s="18" t="s">
        <v>97</v>
      </c>
      <c r="C52" s="18" t="s">
        <v>98</v>
      </c>
      <c r="D52" s="3"/>
      <c r="E52" s="8"/>
      <c r="F52" s="8"/>
      <c r="G52" s="8"/>
      <c r="H52" s="8"/>
      <c r="I52" s="8"/>
      <c r="J52" s="8"/>
    </row>
    <row r="54" spans="2:10">
      <c r="C5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3"/>
  <sheetViews>
    <sheetView workbookViewId="0">
      <selection activeCell="C16" sqref="C16"/>
    </sheetView>
  </sheetViews>
  <sheetFormatPr defaultRowHeight="15"/>
  <cols>
    <col min="1" max="1" width="9.140625" style="9"/>
    <col min="2" max="2" width="15.7109375" style="9" bestFit="1" customWidth="1"/>
    <col min="3" max="3" width="57.28515625" style="9" customWidth="1"/>
    <col min="4" max="4" width="10" style="9" bestFit="1" customWidth="1"/>
    <col min="5" max="5" width="21" style="9" bestFit="1" customWidth="1"/>
    <col min="6" max="9" width="9.140625" style="9"/>
    <col min="10" max="10" width="9.85546875" style="9" bestFit="1" customWidth="1"/>
    <col min="11" max="11" width="9" style="9" bestFit="1" customWidth="1"/>
    <col min="12" max="16384" width="9.140625" style="9"/>
  </cols>
  <sheetData>
    <row r="1" spans="1:13">
      <c r="D1" s="9" t="s">
        <v>99</v>
      </c>
      <c r="E1" s="19" t="s">
        <v>100</v>
      </c>
      <c r="F1" s="19" t="s">
        <v>101</v>
      </c>
      <c r="G1" s="19" t="s">
        <v>102</v>
      </c>
      <c r="H1" s="19" t="s">
        <v>103</v>
      </c>
      <c r="I1" s="19" t="s">
        <v>104</v>
      </c>
      <c r="J1" s="19" t="s">
        <v>105</v>
      </c>
      <c r="K1" s="19" t="s">
        <v>106</v>
      </c>
      <c r="L1" s="19" t="s">
        <v>107</v>
      </c>
      <c r="M1" s="19" t="s">
        <v>108</v>
      </c>
    </row>
    <row r="2" spans="1:13">
      <c r="A2" s="9" t="s">
        <v>6</v>
      </c>
      <c r="B2" s="4" t="s">
        <v>7</v>
      </c>
      <c r="C2" s="4" t="s">
        <v>8</v>
      </c>
      <c r="D2" s="20" t="s">
        <v>109</v>
      </c>
      <c r="E2" s="9" t="s">
        <v>110</v>
      </c>
      <c r="F2" s="9">
        <v>92</v>
      </c>
      <c r="G2" s="9">
        <v>90</v>
      </c>
      <c r="H2" s="9">
        <v>1</v>
      </c>
      <c r="I2" s="8">
        <v>2</v>
      </c>
      <c r="J2" s="21">
        <f>F2*G2*H2*I2/14000</f>
        <v>1.1828571428571428</v>
      </c>
      <c r="K2" s="21">
        <f>SUM(J2:J11)</f>
        <v>5.9904642857142854</v>
      </c>
      <c r="L2" s="15">
        <f>K2*1.2</f>
        <v>7.1885571428571424</v>
      </c>
      <c r="M2" s="22">
        <v>0.2</v>
      </c>
    </row>
    <row r="3" spans="1:13">
      <c r="B3" s="4" t="s">
        <v>7</v>
      </c>
      <c r="C3" s="4" t="s">
        <v>8</v>
      </c>
      <c r="E3" s="9" t="s">
        <v>111</v>
      </c>
      <c r="F3" s="9">
        <v>25</v>
      </c>
      <c r="G3" s="9">
        <v>66</v>
      </c>
      <c r="H3" s="9">
        <v>1</v>
      </c>
      <c r="I3" s="8">
        <v>4</v>
      </c>
      <c r="J3" s="21">
        <f t="shared" ref="J3:J20" si="0">F3*G3*H3*I3/14000</f>
        <v>0.47142857142857142</v>
      </c>
      <c r="K3" s="21"/>
      <c r="L3" s="15"/>
      <c r="M3" s="22"/>
    </row>
    <row r="4" spans="1:13">
      <c r="B4" s="4" t="s">
        <v>7</v>
      </c>
      <c r="C4" s="4" t="s">
        <v>8</v>
      </c>
      <c r="E4" s="9" t="s">
        <v>112</v>
      </c>
      <c r="F4" s="9">
        <v>70</v>
      </c>
      <c r="G4" s="9">
        <v>190</v>
      </c>
      <c r="H4" s="9">
        <v>1</v>
      </c>
      <c r="I4" s="8">
        <v>1</v>
      </c>
      <c r="J4" s="21">
        <f t="shared" si="0"/>
        <v>0.95</v>
      </c>
      <c r="K4" s="21"/>
      <c r="L4" s="21"/>
    </row>
    <row r="5" spans="1:13">
      <c r="B5" s="4" t="s">
        <v>7</v>
      </c>
      <c r="C5" s="4" t="s">
        <v>8</v>
      </c>
      <c r="E5" s="9" t="s">
        <v>113</v>
      </c>
      <c r="F5" s="9">
        <v>25</v>
      </c>
      <c r="G5" s="9">
        <v>48</v>
      </c>
      <c r="H5" s="9">
        <v>1</v>
      </c>
      <c r="I5" s="8">
        <v>2</v>
      </c>
      <c r="J5" s="21">
        <f t="shared" si="0"/>
        <v>0.17142857142857143</v>
      </c>
      <c r="K5" s="21"/>
      <c r="L5" s="21"/>
    </row>
    <row r="6" spans="1:13">
      <c r="B6" s="4" t="s">
        <v>7</v>
      </c>
      <c r="C6" s="4" t="s">
        <v>8</v>
      </c>
      <c r="E6" s="9" t="s">
        <v>114</v>
      </c>
      <c r="F6" s="9">
        <v>23</v>
      </c>
      <c r="G6" s="9">
        <v>30</v>
      </c>
      <c r="H6" s="9">
        <v>1</v>
      </c>
      <c r="I6" s="8">
        <v>4</v>
      </c>
      <c r="J6" s="21">
        <f t="shared" si="0"/>
        <v>0.19714285714285715</v>
      </c>
      <c r="K6" s="21"/>
      <c r="L6" s="21"/>
    </row>
    <row r="7" spans="1:13">
      <c r="B7" s="4" t="s">
        <v>7</v>
      </c>
      <c r="C7" s="4" t="s">
        <v>8</v>
      </c>
      <c r="E7" s="9" t="s">
        <v>115</v>
      </c>
      <c r="F7" s="9">
        <v>85</v>
      </c>
      <c r="G7" s="9">
        <v>85</v>
      </c>
      <c r="H7" s="9">
        <v>1</v>
      </c>
      <c r="I7" s="8">
        <v>2</v>
      </c>
      <c r="J7" s="21">
        <f t="shared" si="0"/>
        <v>1.0321428571428573</v>
      </c>
      <c r="K7" s="21"/>
      <c r="L7" s="21"/>
    </row>
    <row r="8" spans="1:13">
      <c r="B8" s="4" t="s">
        <v>7</v>
      </c>
      <c r="C8" s="4" t="s">
        <v>8</v>
      </c>
      <c r="E8" s="9" t="s">
        <v>116</v>
      </c>
      <c r="F8" s="9">
        <v>25</v>
      </c>
      <c r="G8" s="9">
        <v>150</v>
      </c>
      <c r="H8" s="9">
        <v>1</v>
      </c>
      <c r="I8" s="8">
        <v>2</v>
      </c>
      <c r="J8" s="21">
        <f t="shared" si="0"/>
        <v>0.5357142857142857</v>
      </c>
      <c r="K8" s="21"/>
      <c r="L8" s="21"/>
    </row>
    <row r="9" spans="1:13">
      <c r="B9" s="4" t="s">
        <v>7</v>
      </c>
      <c r="C9" s="4" t="s">
        <v>8</v>
      </c>
      <c r="E9" s="9" t="s">
        <v>117</v>
      </c>
      <c r="F9" s="9">
        <v>85</v>
      </c>
      <c r="G9" s="9">
        <v>185</v>
      </c>
      <c r="H9" s="9">
        <v>1</v>
      </c>
      <c r="I9" s="8">
        <v>0.66</v>
      </c>
      <c r="J9" s="21">
        <f t="shared" si="0"/>
        <v>0.74132142857142858</v>
      </c>
      <c r="K9" s="21"/>
      <c r="L9" s="21"/>
    </row>
    <row r="10" spans="1:13">
      <c r="B10" s="4" t="s">
        <v>7</v>
      </c>
      <c r="C10" s="4" t="s">
        <v>8</v>
      </c>
      <c r="E10" s="9" t="s">
        <v>118</v>
      </c>
      <c r="F10" s="9">
        <v>47</v>
      </c>
      <c r="G10" s="9">
        <v>97</v>
      </c>
      <c r="H10" s="9">
        <v>1</v>
      </c>
      <c r="I10" s="8">
        <v>2</v>
      </c>
      <c r="J10" s="21">
        <f t="shared" si="0"/>
        <v>0.65128571428571425</v>
      </c>
      <c r="K10" s="21"/>
      <c r="L10" s="21"/>
    </row>
    <row r="11" spans="1:13">
      <c r="B11" s="4" t="s">
        <v>7</v>
      </c>
      <c r="C11" s="4" t="s">
        <v>8</v>
      </c>
      <c r="E11" s="9" t="s">
        <v>119</v>
      </c>
      <c r="F11" s="9">
        <v>20</v>
      </c>
      <c r="G11" s="9">
        <v>20</v>
      </c>
      <c r="H11" s="9">
        <v>1</v>
      </c>
      <c r="I11" s="8">
        <v>2</v>
      </c>
      <c r="J11" s="21">
        <f t="shared" si="0"/>
        <v>5.7142857142857141E-2</v>
      </c>
      <c r="K11" s="21"/>
      <c r="L11" s="21"/>
    </row>
    <row r="12" spans="1:13">
      <c r="B12" s="4" t="s">
        <v>9</v>
      </c>
      <c r="C12" s="4" t="s">
        <v>10</v>
      </c>
      <c r="E12" s="9" t="s">
        <v>120</v>
      </c>
      <c r="F12" s="9">
        <v>47</v>
      </c>
      <c r="G12" s="9">
        <v>97</v>
      </c>
      <c r="H12" s="9">
        <v>1</v>
      </c>
      <c r="I12" s="8">
        <v>1</v>
      </c>
      <c r="J12" s="21">
        <f t="shared" si="0"/>
        <v>0.32564285714285712</v>
      </c>
      <c r="K12" s="21">
        <f>J12</f>
        <v>0.32564285714285712</v>
      </c>
      <c r="L12" s="23">
        <f>K12*1.2</f>
        <v>0.39077142857142855</v>
      </c>
    </row>
    <row r="13" spans="1:13">
      <c r="B13" s="4" t="s">
        <v>11</v>
      </c>
      <c r="C13" s="4" t="s">
        <v>12</v>
      </c>
      <c r="E13" s="9" t="s">
        <v>121</v>
      </c>
      <c r="F13" s="9">
        <v>47</v>
      </c>
      <c r="G13" s="9">
        <v>97</v>
      </c>
      <c r="H13" s="9">
        <v>1</v>
      </c>
      <c r="I13" s="8">
        <v>1</v>
      </c>
      <c r="J13" s="21">
        <f t="shared" si="0"/>
        <v>0.32564285714285712</v>
      </c>
      <c r="K13" s="21">
        <f>J13</f>
        <v>0.32564285714285712</v>
      </c>
      <c r="L13" s="23">
        <f>K13*1.2</f>
        <v>0.39077142857142855</v>
      </c>
    </row>
    <row r="14" spans="1:13">
      <c r="B14" s="4" t="s">
        <v>13</v>
      </c>
      <c r="C14" s="4" t="s">
        <v>14</v>
      </c>
      <c r="E14" s="9" t="s">
        <v>122</v>
      </c>
      <c r="F14" s="9">
        <v>6</v>
      </c>
      <c r="G14" s="9">
        <v>140</v>
      </c>
      <c r="H14" s="9">
        <v>1</v>
      </c>
      <c r="I14" s="8">
        <v>2</v>
      </c>
      <c r="J14" s="21">
        <f t="shared" si="0"/>
        <v>0.12</v>
      </c>
      <c r="K14" s="21">
        <f>J14</f>
        <v>0.12</v>
      </c>
      <c r="L14" s="23">
        <f>K14*1.2</f>
        <v>0.14399999999999999</v>
      </c>
    </row>
    <row r="15" spans="1:13">
      <c r="B15" s="5" t="s">
        <v>15</v>
      </c>
      <c r="C15" s="5" t="s">
        <v>16</v>
      </c>
      <c r="E15" s="9" t="s">
        <v>123</v>
      </c>
      <c r="F15" s="9">
        <v>85</v>
      </c>
      <c r="G15" s="9">
        <v>185</v>
      </c>
      <c r="H15" s="9">
        <v>1</v>
      </c>
      <c r="I15" s="8">
        <v>1</v>
      </c>
      <c r="J15" s="21">
        <f t="shared" si="0"/>
        <v>1.1232142857142857</v>
      </c>
      <c r="K15" s="21">
        <f>J15+J16</f>
        <v>1.4267857142857143</v>
      </c>
      <c r="L15" s="23">
        <f>K15*1.2</f>
        <v>1.7121428571428572</v>
      </c>
      <c r="M15" s="22">
        <v>0.2</v>
      </c>
    </row>
    <row r="16" spans="1:13">
      <c r="B16" s="5" t="s">
        <v>15</v>
      </c>
      <c r="C16" s="5" t="s">
        <v>16</v>
      </c>
      <c r="E16" s="9" t="s">
        <v>124</v>
      </c>
      <c r="F16" s="9">
        <v>25</v>
      </c>
      <c r="G16" s="9">
        <v>85</v>
      </c>
      <c r="H16" s="9">
        <v>1</v>
      </c>
      <c r="I16" s="8">
        <v>2</v>
      </c>
      <c r="J16" s="21">
        <f t="shared" si="0"/>
        <v>0.30357142857142855</v>
      </c>
      <c r="K16" s="21"/>
      <c r="L16" s="21"/>
      <c r="M16" s="22"/>
    </row>
    <row r="17" spans="1:13">
      <c r="B17" s="5" t="s">
        <v>17</v>
      </c>
      <c r="C17" s="5" t="s">
        <v>18</v>
      </c>
      <c r="E17" s="9" t="s">
        <v>125</v>
      </c>
      <c r="F17" s="9">
        <v>55</v>
      </c>
      <c r="G17" s="9">
        <v>110</v>
      </c>
      <c r="H17" s="9">
        <v>1</v>
      </c>
      <c r="I17" s="8">
        <v>4</v>
      </c>
      <c r="J17" s="21">
        <f t="shared" si="0"/>
        <v>1.7285714285714286</v>
      </c>
      <c r="K17" s="21">
        <f>SUM(J17:J19)</f>
        <v>3.2142857142857144</v>
      </c>
      <c r="L17" s="24">
        <f>K17*1.2</f>
        <v>3.8571428571428572</v>
      </c>
      <c r="M17" s="22"/>
    </row>
    <row r="18" spans="1:13">
      <c r="B18" s="5" t="s">
        <v>17</v>
      </c>
      <c r="C18" s="5" t="s">
        <v>18</v>
      </c>
      <c r="E18" s="9" t="s">
        <v>112</v>
      </c>
      <c r="F18" s="9">
        <v>70</v>
      </c>
      <c r="G18" s="9">
        <v>190</v>
      </c>
      <c r="H18" s="9">
        <v>1</v>
      </c>
      <c r="I18" s="8">
        <v>1</v>
      </c>
      <c r="J18" s="21">
        <f t="shared" si="0"/>
        <v>0.95</v>
      </c>
      <c r="K18" s="21"/>
      <c r="L18" s="15"/>
      <c r="M18" s="22"/>
    </row>
    <row r="19" spans="1:13">
      <c r="B19" s="5" t="s">
        <v>17</v>
      </c>
      <c r="C19" s="5" t="s">
        <v>18</v>
      </c>
      <c r="E19" s="9" t="s">
        <v>116</v>
      </c>
      <c r="F19" s="9">
        <v>25</v>
      </c>
      <c r="G19" s="9">
        <v>150</v>
      </c>
      <c r="H19" s="9">
        <v>1</v>
      </c>
      <c r="I19" s="8">
        <v>2</v>
      </c>
      <c r="J19" s="21">
        <f t="shared" si="0"/>
        <v>0.5357142857142857</v>
      </c>
      <c r="K19" s="21"/>
      <c r="L19" s="15"/>
      <c r="M19" s="22"/>
    </row>
    <row r="20" spans="1:13">
      <c r="B20" s="5" t="s">
        <v>19</v>
      </c>
      <c r="C20" s="5" t="s">
        <v>20</v>
      </c>
      <c r="E20" s="9" t="s">
        <v>126</v>
      </c>
      <c r="F20" s="9">
        <v>50</v>
      </c>
      <c r="G20" s="9">
        <v>125</v>
      </c>
      <c r="H20" s="9">
        <v>1</v>
      </c>
      <c r="I20" s="8">
        <v>2</v>
      </c>
      <c r="J20" s="21">
        <f t="shared" si="0"/>
        <v>0.8928571428571429</v>
      </c>
      <c r="K20" s="21">
        <f>J20</f>
        <v>0.8928571428571429</v>
      </c>
      <c r="L20" s="24">
        <f>K20*1.2</f>
        <v>1.0714285714285714</v>
      </c>
      <c r="M20" s="22">
        <v>0.2</v>
      </c>
    </row>
    <row r="21" spans="1:13">
      <c r="B21" s="5" t="s">
        <v>21</v>
      </c>
      <c r="C21" s="5" t="s">
        <v>127</v>
      </c>
      <c r="E21" s="9" t="s">
        <v>110</v>
      </c>
      <c r="F21" s="9">
        <v>1</v>
      </c>
      <c r="G21" s="9">
        <v>180</v>
      </c>
      <c r="H21" s="9">
        <v>1</v>
      </c>
      <c r="I21" s="8">
        <v>1</v>
      </c>
      <c r="J21" s="21">
        <f>F21*G21*H21*I21/100</f>
        <v>1.8</v>
      </c>
      <c r="K21" s="21">
        <f t="shared" ref="K21:K23" si="1">J21</f>
        <v>1.8</v>
      </c>
      <c r="L21" s="24">
        <f t="shared" ref="L21:L23" si="2">K21*1.2</f>
        <v>2.16</v>
      </c>
      <c r="M21" s="22">
        <v>0.2</v>
      </c>
    </row>
    <row r="22" spans="1:13">
      <c r="B22" s="5" t="s">
        <v>128</v>
      </c>
      <c r="C22" s="5" t="s">
        <v>129</v>
      </c>
      <c r="E22" s="9" t="s">
        <v>130</v>
      </c>
      <c r="F22" s="9">
        <v>1</v>
      </c>
      <c r="G22" s="9">
        <v>180</v>
      </c>
      <c r="H22" s="9">
        <v>1</v>
      </c>
      <c r="I22" s="8">
        <v>2</v>
      </c>
      <c r="J22" s="21">
        <f>F22*G22*H22*I22/100</f>
        <v>3.6</v>
      </c>
      <c r="K22" s="21">
        <f t="shared" si="1"/>
        <v>3.6</v>
      </c>
      <c r="L22" s="24">
        <f t="shared" si="2"/>
        <v>4.32</v>
      </c>
      <c r="M22" s="22">
        <v>0.2</v>
      </c>
    </row>
    <row r="23" spans="1:13">
      <c r="B23" s="5" t="s">
        <v>25</v>
      </c>
      <c r="C23" s="5" t="s">
        <v>131</v>
      </c>
      <c r="D23" s="20" t="s">
        <v>132</v>
      </c>
      <c r="E23" s="9" t="s">
        <v>133</v>
      </c>
      <c r="F23" s="9">
        <v>85</v>
      </c>
      <c r="G23" s="9">
        <v>185</v>
      </c>
      <c r="H23" s="9">
        <v>1</v>
      </c>
      <c r="I23" s="8">
        <v>1</v>
      </c>
      <c r="J23" s="21">
        <f>F23*G23*H23*I23/10000</f>
        <v>1.5725</v>
      </c>
      <c r="K23" s="21">
        <f t="shared" si="1"/>
        <v>1.5725</v>
      </c>
      <c r="L23" s="25">
        <f t="shared" si="2"/>
        <v>1.887</v>
      </c>
      <c r="M23" s="22">
        <v>0.2</v>
      </c>
    </row>
    <row r="25" spans="1:13">
      <c r="E25" s="19" t="s">
        <v>100</v>
      </c>
      <c r="F25" s="19" t="s">
        <v>101</v>
      </c>
      <c r="G25" s="19" t="s">
        <v>102</v>
      </c>
      <c r="H25" s="19" t="s">
        <v>103</v>
      </c>
      <c r="I25" s="19" t="s">
        <v>104</v>
      </c>
      <c r="J25" s="19" t="s">
        <v>105</v>
      </c>
      <c r="K25" s="19" t="s">
        <v>106</v>
      </c>
      <c r="L25" s="19" t="s">
        <v>107</v>
      </c>
      <c r="M25" s="19" t="s">
        <v>108</v>
      </c>
    </row>
    <row r="26" spans="1:13">
      <c r="A26" s="9" t="s">
        <v>27</v>
      </c>
      <c r="B26" s="6" t="s">
        <v>28</v>
      </c>
      <c r="C26" s="6" t="s">
        <v>29</v>
      </c>
      <c r="E26" s="9" t="s">
        <v>134</v>
      </c>
      <c r="I26" s="8"/>
      <c r="J26" s="21">
        <f>F26*G26*H26*I26/10000</f>
        <v>0</v>
      </c>
      <c r="K26" s="21">
        <f>SUM(J26:J27)</f>
        <v>0</v>
      </c>
      <c r="L26" s="15">
        <f>K26*1.15</f>
        <v>0</v>
      </c>
      <c r="M26" s="22">
        <v>0.15</v>
      </c>
    </row>
    <row r="27" spans="1:13">
      <c r="B27" s="6" t="s">
        <v>28</v>
      </c>
      <c r="C27" s="6" t="s">
        <v>29</v>
      </c>
      <c r="E27" s="9" t="s">
        <v>134</v>
      </c>
      <c r="I27" s="8"/>
      <c r="J27" s="21">
        <f t="shared" ref="J27:J29" si="3">F27*G27*H27*I27/10000</f>
        <v>0</v>
      </c>
      <c r="K27" s="21"/>
      <c r="L27" s="15"/>
      <c r="M27" s="22"/>
    </row>
    <row r="28" spans="1:13">
      <c r="B28" s="6" t="s">
        <v>30</v>
      </c>
      <c r="C28" s="6" t="s">
        <v>31</v>
      </c>
      <c r="E28" s="9" t="s">
        <v>134</v>
      </c>
      <c r="I28" s="8"/>
      <c r="J28" s="21">
        <f t="shared" si="3"/>
        <v>0</v>
      </c>
      <c r="K28" s="21">
        <f>SUM(J28:J29)</f>
        <v>0</v>
      </c>
      <c r="L28" s="15">
        <f>K28*1.15</f>
        <v>0</v>
      </c>
      <c r="M28" s="22">
        <v>0.15</v>
      </c>
    </row>
    <row r="29" spans="1:13">
      <c r="B29" s="6" t="s">
        <v>30</v>
      </c>
      <c r="C29" s="6" t="s">
        <v>31</v>
      </c>
      <c r="E29" s="9" t="s">
        <v>134</v>
      </c>
      <c r="I29" s="8"/>
      <c r="J29" s="21">
        <f t="shared" si="3"/>
        <v>0</v>
      </c>
      <c r="K29" s="21"/>
      <c r="L29" s="15"/>
      <c r="M29" s="22"/>
    </row>
    <row r="30" spans="1:13">
      <c r="B30" s="6" t="s">
        <v>32</v>
      </c>
      <c r="C30" s="6" t="s">
        <v>33</v>
      </c>
      <c r="E30" s="9" t="s">
        <v>135</v>
      </c>
      <c r="J30" s="21">
        <f>F30*G30*H30*I30/1000000</f>
        <v>0</v>
      </c>
      <c r="K30" s="15">
        <f>SUM(J30:J32)</f>
        <v>0</v>
      </c>
      <c r="L30" s="15">
        <f>K30*1.5</f>
        <v>0</v>
      </c>
      <c r="M30" s="22">
        <v>0.5</v>
      </c>
    </row>
    <row r="31" spans="1:13">
      <c r="B31" s="6" t="s">
        <v>32</v>
      </c>
      <c r="C31" s="6" t="s">
        <v>33</v>
      </c>
      <c r="E31" s="9" t="s">
        <v>134</v>
      </c>
      <c r="J31" s="21">
        <f t="shared" ref="J31:J32" si="4">F31*G31*H31*I31/1000000</f>
        <v>0</v>
      </c>
      <c r="K31" s="15"/>
      <c r="L31" s="15"/>
      <c r="M31" s="22"/>
    </row>
    <row r="32" spans="1:13">
      <c r="B32" s="6" t="s">
        <v>32</v>
      </c>
      <c r="C32" s="6" t="s">
        <v>33</v>
      </c>
      <c r="E32" s="9" t="s">
        <v>134</v>
      </c>
      <c r="J32" s="21">
        <f t="shared" si="4"/>
        <v>0</v>
      </c>
      <c r="K32" s="15"/>
      <c r="L32" s="15"/>
      <c r="M32" s="22"/>
    </row>
    <row r="33" spans="1:13">
      <c r="B33" s="7"/>
      <c r="C33" s="7"/>
    </row>
    <row r="34" spans="1:13">
      <c r="E34" s="19" t="s">
        <v>100</v>
      </c>
      <c r="F34" s="19" t="s">
        <v>101</v>
      </c>
      <c r="G34" s="19" t="s">
        <v>102</v>
      </c>
      <c r="H34" s="19" t="s">
        <v>103</v>
      </c>
      <c r="I34" s="19" t="s">
        <v>104</v>
      </c>
      <c r="J34" s="19" t="s">
        <v>105</v>
      </c>
      <c r="K34" s="19" t="s">
        <v>106</v>
      </c>
      <c r="L34" s="19" t="s">
        <v>107</v>
      </c>
      <c r="M34" s="19" t="s">
        <v>108</v>
      </c>
    </row>
    <row r="35" spans="1:13">
      <c r="A35" s="9" t="s">
        <v>36</v>
      </c>
      <c r="B35" s="5" t="s">
        <v>37</v>
      </c>
      <c r="C35" s="5" t="s">
        <v>38</v>
      </c>
      <c r="E35" s="9" t="s">
        <v>113</v>
      </c>
      <c r="F35" s="9">
        <v>16</v>
      </c>
      <c r="G35" s="9">
        <v>45</v>
      </c>
      <c r="H35" s="9">
        <v>0.8</v>
      </c>
      <c r="I35" s="8">
        <v>2</v>
      </c>
      <c r="J35" s="9">
        <f>F35*G35*H35*I35/1000000</f>
        <v>1.152E-3</v>
      </c>
      <c r="K35" s="20">
        <f>J35</f>
        <v>1.152E-3</v>
      </c>
      <c r="L35" s="26"/>
      <c r="M35" s="22">
        <v>0.1</v>
      </c>
    </row>
    <row r="36" spans="1:13">
      <c r="B36" s="5" t="s">
        <v>39</v>
      </c>
      <c r="C36" s="5" t="s">
        <v>40</v>
      </c>
      <c r="E36" s="9" t="s">
        <v>136</v>
      </c>
      <c r="F36" s="9">
        <v>75</v>
      </c>
      <c r="G36" s="9">
        <v>85</v>
      </c>
      <c r="H36" s="9">
        <v>2</v>
      </c>
      <c r="I36" s="8">
        <v>2</v>
      </c>
      <c r="J36" s="9">
        <f>F36*G36*H36*I36/1000000</f>
        <v>2.5499999999999998E-2</v>
      </c>
      <c r="K36" s="20">
        <f>SUM(J36:J38)</f>
        <v>3.4699999999999995E-2</v>
      </c>
      <c r="L36" s="26"/>
      <c r="M36" s="22">
        <v>0.1</v>
      </c>
    </row>
    <row r="37" spans="1:13">
      <c r="B37" s="5" t="s">
        <v>39</v>
      </c>
      <c r="C37" s="5" t="s">
        <v>40</v>
      </c>
      <c r="E37" s="9" t="s">
        <v>137</v>
      </c>
      <c r="F37" s="9">
        <v>30</v>
      </c>
      <c r="G37" s="9">
        <v>20</v>
      </c>
      <c r="H37" s="9">
        <v>2</v>
      </c>
      <c r="I37" s="8">
        <v>2</v>
      </c>
      <c r="J37" s="9">
        <f t="shared" ref="J37:J38" si="5">F37*G37*H37*I37/1000000</f>
        <v>2.3999999999999998E-3</v>
      </c>
      <c r="L37" s="26"/>
      <c r="M37" s="22"/>
    </row>
    <row r="38" spans="1:13">
      <c r="B38" s="5" t="s">
        <v>39</v>
      </c>
      <c r="C38" s="5" t="s">
        <v>40</v>
      </c>
      <c r="E38" s="9" t="s">
        <v>138</v>
      </c>
      <c r="F38" s="9">
        <v>20</v>
      </c>
      <c r="G38" s="9">
        <v>85</v>
      </c>
      <c r="H38" s="9">
        <v>2</v>
      </c>
      <c r="I38" s="8">
        <v>2</v>
      </c>
      <c r="J38" s="9">
        <f t="shared" si="5"/>
        <v>6.7999999999999996E-3</v>
      </c>
      <c r="L38" s="26"/>
      <c r="M38" s="22">
        <v>0.1</v>
      </c>
    </row>
    <row r="39" spans="1:13">
      <c r="B39" s="5" t="s">
        <v>41</v>
      </c>
      <c r="C39" s="5" t="s">
        <v>42</v>
      </c>
      <c r="E39" s="9" t="s">
        <v>139</v>
      </c>
      <c r="F39" s="9">
        <v>45</v>
      </c>
      <c r="G39" s="9">
        <v>180</v>
      </c>
      <c r="H39" s="9">
        <v>7</v>
      </c>
      <c r="I39" s="8">
        <v>1</v>
      </c>
      <c r="J39" s="9">
        <f>F39*G39*H39*I39/1000000</f>
        <v>5.67E-2</v>
      </c>
      <c r="K39" s="20">
        <f>J39</f>
        <v>5.67E-2</v>
      </c>
    </row>
    <row r="40" spans="1:13">
      <c r="B40" s="13" t="s">
        <v>43</v>
      </c>
      <c r="C40" s="13" t="s">
        <v>44</v>
      </c>
      <c r="E40" s="9" t="s">
        <v>116</v>
      </c>
      <c r="F40" s="9">
        <v>25</v>
      </c>
      <c r="G40" s="9">
        <v>150</v>
      </c>
      <c r="H40" s="9">
        <v>3</v>
      </c>
      <c r="I40" s="8">
        <v>2</v>
      </c>
      <c r="J40" s="9">
        <f>F40*G40*H40*I40/1000000</f>
        <v>2.2499999999999999E-2</v>
      </c>
      <c r="K40" s="20">
        <f>SUM(J40:J42)</f>
        <v>0.1056</v>
      </c>
    </row>
    <row r="41" spans="1:13">
      <c r="B41" s="13" t="s">
        <v>43</v>
      </c>
      <c r="C41" s="13" t="s">
        <v>44</v>
      </c>
      <c r="E41" s="9" t="s">
        <v>140</v>
      </c>
      <c r="F41" s="9">
        <v>80</v>
      </c>
      <c r="G41" s="9">
        <v>180</v>
      </c>
      <c r="H41" s="9">
        <v>3</v>
      </c>
      <c r="I41" s="8">
        <v>1</v>
      </c>
      <c r="J41" s="9">
        <f>F41*G41*H41*I41/1000000</f>
        <v>4.3200000000000002E-2</v>
      </c>
      <c r="M41" s="22">
        <v>0.1</v>
      </c>
    </row>
    <row r="42" spans="1:13">
      <c r="B42" s="13" t="s">
        <v>43</v>
      </c>
      <c r="C42" s="13" t="s">
        <v>44</v>
      </c>
      <c r="E42" s="9" t="s">
        <v>141</v>
      </c>
      <c r="F42" s="9">
        <v>70</v>
      </c>
      <c r="G42" s="9">
        <v>190</v>
      </c>
      <c r="H42" s="9">
        <v>3</v>
      </c>
      <c r="I42" s="8">
        <v>1</v>
      </c>
      <c r="J42" s="9">
        <f>F42*G42*H42*I42/1000000</f>
        <v>3.9899999999999998E-2</v>
      </c>
    </row>
    <row r="43" spans="1:13">
      <c r="B43" s="13" t="s">
        <v>45</v>
      </c>
      <c r="C43" s="13" t="s">
        <v>46</v>
      </c>
      <c r="E43" s="9" t="s">
        <v>110</v>
      </c>
      <c r="F43" s="9">
        <v>60</v>
      </c>
      <c r="G43" s="9">
        <v>180</v>
      </c>
      <c r="H43" s="9">
        <v>10</v>
      </c>
      <c r="I43" s="8">
        <v>1</v>
      </c>
      <c r="J43" s="9">
        <f>F43*G43*H43*I43/1000000</f>
        <v>0.108</v>
      </c>
      <c r="K43" s="20">
        <f>J43</f>
        <v>0.108</v>
      </c>
      <c r="M43" s="22"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>
      <selection activeCell="C18" sqref="C18"/>
    </sheetView>
  </sheetViews>
  <sheetFormatPr defaultRowHeight="15"/>
  <cols>
    <col min="1" max="1" width="10" style="9" bestFit="1" customWidth="1"/>
    <col min="2" max="2" width="15.7109375" style="9" bestFit="1" customWidth="1"/>
    <col min="3" max="3" width="61.42578125" style="9" bestFit="1" customWidth="1"/>
    <col min="4" max="4" width="9" style="9" customWidth="1"/>
    <col min="5" max="5" width="21" style="9" bestFit="1" customWidth="1"/>
    <col min="6" max="10" width="9.140625" style="9"/>
    <col min="11" max="11" width="10.7109375" style="9" customWidth="1"/>
    <col min="12" max="16384" width="9.140625" style="9"/>
  </cols>
  <sheetData>
    <row r="1" spans="1:12">
      <c r="D1" s="19" t="s">
        <v>106</v>
      </c>
      <c r="E1" s="19" t="s">
        <v>100</v>
      </c>
      <c r="F1" s="19" t="s">
        <v>101</v>
      </c>
      <c r="G1" s="19" t="s">
        <v>102</v>
      </c>
      <c r="H1" s="19" t="s">
        <v>103</v>
      </c>
      <c r="I1" s="19" t="s">
        <v>104</v>
      </c>
      <c r="J1" s="19" t="s">
        <v>107</v>
      </c>
      <c r="K1" s="19" t="s">
        <v>105</v>
      </c>
      <c r="L1" s="19" t="s">
        <v>108</v>
      </c>
    </row>
    <row r="2" spans="1:12">
      <c r="A2" s="9" t="s">
        <v>6</v>
      </c>
      <c r="B2" s="40" t="s">
        <v>1155</v>
      </c>
      <c r="C2" s="40" t="s">
        <v>1156</v>
      </c>
      <c r="D2" s="32">
        <f>SUM(K2:K3)</f>
        <v>1.5290000000000004</v>
      </c>
      <c r="F2" s="9">
        <v>70</v>
      </c>
      <c r="G2" s="9">
        <v>150</v>
      </c>
      <c r="H2" s="9">
        <v>1</v>
      </c>
      <c r="I2" s="8">
        <v>1</v>
      </c>
      <c r="J2" s="8">
        <v>1.1000000000000001</v>
      </c>
      <c r="K2" s="21">
        <f>F2*G2*H2*I2*J2/10000</f>
        <v>1.1550000000000002</v>
      </c>
      <c r="L2" s="22">
        <v>0.1</v>
      </c>
    </row>
    <row r="3" spans="1:12">
      <c r="B3" s="41" t="s">
        <v>1094</v>
      </c>
      <c r="C3" s="41" t="s">
        <v>1156</v>
      </c>
      <c r="D3" s="21"/>
      <c r="F3" s="9">
        <v>40</v>
      </c>
      <c r="G3" s="9">
        <v>85</v>
      </c>
      <c r="H3" s="9">
        <v>1</v>
      </c>
      <c r="I3" s="8">
        <v>1</v>
      </c>
      <c r="J3" s="8">
        <v>1.1000000000000001</v>
      </c>
      <c r="K3" s="21">
        <f>F3*G3*H3*I3*J3/10000</f>
        <v>0.37400000000000005</v>
      </c>
      <c r="L3" s="22"/>
    </row>
    <row r="4" spans="1:12">
      <c r="B4" s="6" t="s">
        <v>7</v>
      </c>
      <c r="C4" s="6" t="s">
        <v>1240</v>
      </c>
      <c r="D4" s="42">
        <f>SUM(K4:K5)</f>
        <v>0.98214285714285732</v>
      </c>
      <c r="E4" s="11"/>
      <c r="F4" s="11">
        <v>500</v>
      </c>
      <c r="G4" s="11">
        <v>5</v>
      </c>
      <c r="H4" s="11">
        <v>1</v>
      </c>
      <c r="I4" s="11">
        <v>5</v>
      </c>
      <c r="J4" s="11">
        <v>1.1000000000000001</v>
      </c>
      <c r="K4" s="42">
        <f>F4*G4*H4*I4*J4/14000</f>
        <v>0.98214285714285732</v>
      </c>
      <c r="L4" s="43">
        <v>0.1</v>
      </c>
    </row>
    <row r="5" spans="1:12">
      <c r="B5" s="6" t="s">
        <v>1096</v>
      </c>
      <c r="C5" s="6" t="s">
        <v>1240</v>
      </c>
      <c r="D5" s="42"/>
      <c r="E5" s="11"/>
      <c r="F5" s="11"/>
      <c r="G5" s="11"/>
      <c r="H5" s="11"/>
      <c r="I5" s="11"/>
      <c r="J5" s="11"/>
      <c r="K5" s="42">
        <f t="shared" ref="K5:K8" si="0">F5*G5*H5*I5/14000</f>
        <v>0</v>
      </c>
      <c r="L5" s="43"/>
    </row>
    <row r="6" spans="1:12">
      <c r="B6" s="5" t="s">
        <v>17</v>
      </c>
      <c r="C6" s="5" t="s">
        <v>18</v>
      </c>
      <c r="D6" s="21">
        <f>SUM(K6:K8)</f>
        <v>0</v>
      </c>
      <c r="I6" s="8"/>
      <c r="J6" s="8"/>
      <c r="K6" s="21">
        <f t="shared" si="0"/>
        <v>0</v>
      </c>
      <c r="L6" s="22"/>
    </row>
    <row r="7" spans="1:12">
      <c r="B7" s="5" t="s">
        <v>17</v>
      </c>
      <c r="C7" s="5" t="s">
        <v>18</v>
      </c>
      <c r="D7" s="21"/>
      <c r="I7" s="8"/>
      <c r="J7" s="8"/>
      <c r="K7" s="21">
        <f t="shared" si="0"/>
        <v>0</v>
      </c>
      <c r="L7" s="22"/>
    </row>
    <row r="8" spans="1:12">
      <c r="B8" s="5" t="s">
        <v>17</v>
      </c>
      <c r="C8" s="5" t="s">
        <v>18</v>
      </c>
      <c r="D8" s="21"/>
      <c r="F8" s="9">
        <v>25</v>
      </c>
      <c r="G8" s="9">
        <v>150</v>
      </c>
      <c r="H8" s="9">
        <v>1</v>
      </c>
      <c r="I8" s="8"/>
      <c r="J8" s="8"/>
      <c r="K8" s="21">
        <f t="shared" si="0"/>
        <v>0</v>
      </c>
      <c r="L8" s="22"/>
    </row>
    <row r="9" spans="1:12">
      <c r="B9" s="34" t="s">
        <v>19</v>
      </c>
      <c r="C9" s="34" t="s">
        <v>20</v>
      </c>
      <c r="D9" s="32">
        <f>K9</f>
        <v>0.58300000000000007</v>
      </c>
      <c r="F9" s="8">
        <v>53</v>
      </c>
      <c r="G9" s="8">
        <v>100</v>
      </c>
      <c r="H9" s="9">
        <v>1</v>
      </c>
      <c r="I9" s="8">
        <v>1</v>
      </c>
      <c r="J9" s="8">
        <v>1.1000000000000001</v>
      </c>
      <c r="K9" s="21">
        <f>F9*G9*H9*I9*J9/10000</f>
        <v>0.58300000000000007</v>
      </c>
      <c r="L9" s="22">
        <v>0.2</v>
      </c>
    </row>
    <row r="10" spans="1:12">
      <c r="B10" s="5" t="s">
        <v>25</v>
      </c>
      <c r="C10" s="5" t="s">
        <v>131</v>
      </c>
      <c r="D10" s="21">
        <v>0</v>
      </c>
      <c r="I10" s="8"/>
      <c r="J10" s="8"/>
      <c r="K10" s="21">
        <v>1.2</v>
      </c>
      <c r="L10" s="22">
        <v>0.2</v>
      </c>
    </row>
    <row r="12" spans="1:12">
      <c r="D12" s="19" t="s">
        <v>106</v>
      </c>
      <c r="E12" s="19" t="s">
        <v>100</v>
      </c>
      <c r="F12" s="19" t="s">
        <v>101</v>
      </c>
      <c r="G12" s="19" t="s">
        <v>102</v>
      </c>
      <c r="H12" s="19" t="s">
        <v>103</v>
      </c>
      <c r="I12" s="19" t="s">
        <v>104</v>
      </c>
      <c r="J12" s="19" t="s">
        <v>107</v>
      </c>
      <c r="K12" s="19" t="s">
        <v>105</v>
      </c>
      <c r="L12" s="19" t="s">
        <v>108</v>
      </c>
    </row>
    <row r="13" spans="1:12">
      <c r="A13" s="9" t="s">
        <v>27</v>
      </c>
      <c r="B13" s="38" t="s">
        <v>1181</v>
      </c>
      <c r="C13" s="38" t="s">
        <v>812</v>
      </c>
      <c r="D13" s="32">
        <f>SUM(K13:K15)</f>
        <v>0.18756499999999998</v>
      </c>
      <c r="F13" s="8">
        <v>41</v>
      </c>
      <c r="G13" s="8">
        <v>7</v>
      </c>
      <c r="H13" s="8">
        <v>1</v>
      </c>
      <c r="I13" s="8">
        <v>2</v>
      </c>
      <c r="J13" s="8">
        <v>1.1499999999999999</v>
      </c>
      <c r="K13" s="15">
        <f>F13*G13*H13*I13*J13/10000</f>
        <v>6.6009999999999985E-2</v>
      </c>
      <c r="L13" s="22">
        <v>0.15</v>
      </c>
    </row>
    <row r="14" spans="1:12">
      <c r="B14" s="29" t="s">
        <v>1235</v>
      </c>
      <c r="C14" s="29" t="s">
        <v>1236</v>
      </c>
      <c r="D14" s="21"/>
      <c r="F14" s="8">
        <v>22</v>
      </c>
      <c r="G14" s="8">
        <v>7</v>
      </c>
      <c r="H14" s="8">
        <v>1</v>
      </c>
      <c r="I14" s="8">
        <v>4</v>
      </c>
      <c r="J14" s="8">
        <v>1.1499999999999999</v>
      </c>
      <c r="K14" s="15">
        <f t="shared" ref="K14:K18" si="1">F14*G14*H14*I14*J14/10000</f>
        <v>7.084E-2</v>
      </c>
      <c r="L14" s="22"/>
    </row>
    <row r="15" spans="1:12">
      <c r="B15" s="29" t="s">
        <v>1237</v>
      </c>
      <c r="C15" s="29" t="s">
        <v>1238</v>
      </c>
      <c r="D15" s="21"/>
      <c r="F15" s="8">
        <v>31.5</v>
      </c>
      <c r="G15" s="8">
        <v>7</v>
      </c>
      <c r="H15" s="8">
        <v>1</v>
      </c>
      <c r="I15" s="8">
        <v>2</v>
      </c>
      <c r="J15" s="8">
        <v>1.1499999999999999</v>
      </c>
      <c r="K15" s="15">
        <f t="shared" si="1"/>
        <v>5.0714999999999996E-2</v>
      </c>
      <c r="L15" s="22"/>
    </row>
    <row r="16" spans="1:12">
      <c r="B16" s="34" t="s">
        <v>30</v>
      </c>
      <c r="C16" s="36" t="s">
        <v>31</v>
      </c>
      <c r="D16" s="32">
        <f>SUM(K16:K16)</f>
        <v>0.43313599999999997</v>
      </c>
      <c r="F16" s="8">
        <v>53.5</v>
      </c>
      <c r="G16" s="8">
        <v>35.200000000000003</v>
      </c>
      <c r="H16" s="8">
        <v>1</v>
      </c>
      <c r="I16" s="8">
        <v>2</v>
      </c>
      <c r="J16" s="8">
        <v>1.1499999999999999</v>
      </c>
      <c r="K16" s="15">
        <f t="shared" si="1"/>
        <v>0.43313599999999997</v>
      </c>
      <c r="L16" s="22">
        <v>0.15</v>
      </c>
    </row>
    <row r="17" spans="1:12">
      <c r="B17" s="38" t="s">
        <v>1008</v>
      </c>
      <c r="C17" s="38" t="s">
        <v>1009</v>
      </c>
      <c r="D17" s="32">
        <f>SUM(K17:K18)</f>
        <v>0.34327040000000003</v>
      </c>
      <c r="F17" s="8">
        <v>29</v>
      </c>
      <c r="G17" s="8">
        <v>35.200000000000003</v>
      </c>
      <c r="H17" s="8">
        <v>1</v>
      </c>
      <c r="I17" s="8">
        <v>2</v>
      </c>
      <c r="J17" s="8">
        <v>1.1499999999999999</v>
      </c>
      <c r="K17" s="15">
        <f t="shared" si="1"/>
        <v>0.23478400000000002</v>
      </c>
      <c r="L17" s="22"/>
    </row>
    <row r="18" spans="1:12">
      <c r="B18" s="39" t="s">
        <v>1015</v>
      </c>
      <c r="C18" s="39" t="s">
        <v>1009</v>
      </c>
      <c r="D18" s="37"/>
      <c r="F18" s="8">
        <v>26.8</v>
      </c>
      <c r="G18" s="8">
        <v>35.200000000000003</v>
      </c>
      <c r="H18" s="8">
        <v>1</v>
      </c>
      <c r="I18" s="8">
        <v>1</v>
      </c>
      <c r="J18" s="8">
        <v>1.1499999999999999</v>
      </c>
      <c r="K18" s="15">
        <f t="shared" si="1"/>
        <v>0.1084864</v>
      </c>
      <c r="L18" s="22"/>
    </row>
    <row r="19" spans="1:12">
      <c r="B19" s="34" t="s">
        <v>32</v>
      </c>
      <c r="C19" s="34" t="s">
        <v>33</v>
      </c>
      <c r="D19" s="35">
        <f>SUM(K19:K19)</f>
        <v>2.8349999999999998E-3</v>
      </c>
      <c r="F19" s="8">
        <v>31.5</v>
      </c>
      <c r="G19" s="8">
        <v>3</v>
      </c>
      <c r="H19" s="8">
        <v>2</v>
      </c>
      <c r="I19" s="8">
        <v>10</v>
      </c>
      <c r="J19" s="8">
        <v>1.5</v>
      </c>
      <c r="K19" s="15">
        <f>F19*G19*H19*I19*J19/1000000</f>
        <v>2.8349999999999998E-3</v>
      </c>
      <c r="L19" s="22">
        <v>0.5</v>
      </c>
    </row>
    <row r="20" spans="1:12">
      <c r="B20" s="7"/>
      <c r="C20" s="7"/>
    </row>
    <row r="21" spans="1:12">
      <c r="D21" s="19" t="s">
        <v>106</v>
      </c>
      <c r="E21" s="19" t="s">
        <v>100</v>
      </c>
      <c r="F21" s="19" t="s">
        <v>101</v>
      </c>
      <c r="G21" s="19" t="s">
        <v>102</v>
      </c>
      <c r="H21" s="19" t="s">
        <v>103</v>
      </c>
      <c r="I21" s="19" t="s">
        <v>104</v>
      </c>
      <c r="J21" s="19" t="s">
        <v>107</v>
      </c>
      <c r="K21" s="19" t="s">
        <v>105</v>
      </c>
      <c r="L21" s="19" t="s">
        <v>108</v>
      </c>
    </row>
    <row r="22" spans="1:12">
      <c r="A22" s="9" t="s">
        <v>36</v>
      </c>
      <c r="B22" s="34" t="s">
        <v>37</v>
      </c>
      <c r="C22" s="34" t="s">
        <v>38</v>
      </c>
      <c r="D22" s="31">
        <f>K22</f>
        <v>1.7248000000000001E-3</v>
      </c>
      <c r="F22" s="8">
        <v>140</v>
      </c>
      <c r="G22" s="8">
        <v>8</v>
      </c>
      <c r="H22" s="8">
        <v>0.7</v>
      </c>
      <c r="I22" s="8">
        <v>2</v>
      </c>
      <c r="J22" s="8">
        <v>1.1000000000000001</v>
      </c>
      <c r="K22" s="9">
        <f>F22*G22*H22*I22*J22/1000000</f>
        <v>1.7248000000000001E-3</v>
      </c>
      <c r="L22" s="22">
        <v>0.1</v>
      </c>
    </row>
    <row r="23" spans="1:12">
      <c r="B23" s="5" t="s">
        <v>39</v>
      </c>
      <c r="C23" s="5" t="s">
        <v>40</v>
      </c>
      <c r="D23" s="8">
        <f>SUM(K23:K25)</f>
        <v>0</v>
      </c>
      <c r="I23" s="8"/>
      <c r="J23" s="8">
        <v>1.1000000000000001</v>
      </c>
      <c r="K23" s="9">
        <f t="shared" ref="K23:K30" si="2">F23*G23*H23*I23*J23/1000000</f>
        <v>0</v>
      </c>
      <c r="L23" s="22">
        <v>0.1</v>
      </c>
    </row>
    <row r="24" spans="1:12">
      <c r="B24" s="5" t="s">
        <v>39</v>
      </c>
      <c r="C24" s="5" t="s">
        <v>40</v>
      </c>
      <c r="I24" s="8"/>
      <c r="J24" s="8">
        <v>1.1000000000000001</v>
      </c>
      <c r="K24" s="9">
        <f t="shared" si="2"/>
        <v>0</v>
      </c>
      <c r="L24" s="22"/>
    </row>
    <row r="25" spans="1:12">
      <c r="B25" s="5" t="s">
        <v>39</v>
      </c>
      <c r="C25" s="5" t="s">
        <v>40</v>
      </c>
      <c r="I25" s="8"/>
      <c r="J25" s="8">
        <v>1.1000000000000001</v>
      </c>
      <c r="K25" s="9">
        <f t="shared" si="2"/>
        <v>0</v>
      </c>
      <c r="L25" s="22">
        <v>0.1</v>
      </c>
    </row>
    <row r="26" spans="1:12">
      <c r="B26" s="34" t="s">
        <v>41</v>
      </c>
      <c r="C26" s="34" t="s">
        <v>42</v>
      </c>
      <c r="D26" s="31">
        <f>K26</f>
        <v>1.35432E-2</v>
      </c>
      <c r="F26" s="9">
        <v>114</v>
      </c>
      <c r="G26" s="9">
        <v>36</v>
      </c>
      <c r="H26" s="9">
        <v>3</v>
      </c>
      <c r="I26" s="8">
        <v>1</v>
      </c>
      <c r="J26" s="8">
        <v>1.1000000000000001</v>
      </c>
      <c r="K26" s="9">
        <f t="shared" si="2"/>
        <v>1.35432E-2</v>
      </c>
    </row>
    <row r="27" spans="1:12">
      <c r="B27" s="13" t="s">
        <v>43</v>
      </c>
      <c r="C27" s="13" t="s">
        <v>44</v>
      </c>
      <c r="D27" s="8">
        <f>SUM(K27:K29)</f>
        <v>0</v>
      </c>
      <c r="I27" s="8"/>
      <c r="J27" s="8">
        <v>1.1000000000000001</v>
      </c>
      <c r="K27" s="9">
        <f t="shared" si="2"/>
        <v>0</v>
      </c>
    </row>
    <row r="28" spans="1:12">
      <c r="B28" s="13" t="s">
        <v>43</v>
      </c>
      <c r="C28" s="13" t="s">
        <v>44</v>
      </c>
      <c r="I28" s="8"/>
      <c r="J28" s="8">
        <v>1.1000000000000001</v>
      </c>
      <c r="K28" s="9">
        <f t="shared" si="2"/>
        <v>0</v>
      </c>
      <c r="L28" s="22">
        <v>0.1</v>
      </c>
    </row>
    <row r="29" spans="1:12">
      <c r="B29" s="13" t="s">
        <v>43</v>
      </c>
      <c r="C29" s="13" t="s">
        <v>44</v>
      </c>
      <c r="I29" s="8"/>
      <c r="J29" s="8">
        <v>1.1000000000000001</v>
      </c>
      <c r="K29" s="9">
        <f t="shared" si="2"/>
        <v>0</v>
      </c>
    </row>
    <row r="30" spans="1:12">
      <c r="B30" s="13" t="s">
        <v>45</v>
      </c>
      <c r="C30" s="13" t="s">
        <v>46</v>
      </c>
      <c r="D30" s="8">
        <f>K30</f>
        <v>0</v>
      </c>
      <c r="I30" s="8"/>
      <c r="J30" s="8">
        <v>1.1000000000000001</v>
      </c>
      <c r="K30" s="9">
        <f t="shared" si="2"/>
        <v>0</v>
      </c>
      <c r="L30" s="22">
        <v>0.1</v>
      </c>
    </row>
    <row r="33" spans="1:12">
      <c r="D33" s="19" t="s">
        <v>106</v>
      </c>
      <c r="E33" s="19" t="s">
        <v>100</v>
      </c>
      <c r="F33" s="19" t="s">
        <v>101</v>
      </c>
      <c r="G33" s="19" t="s">
        <v>102</v>
      </c>
      <c r="H33" s="19" t="s">
        <v>103</v>
      </c>
      <c r="I33" s="19" t="s">
        <v>104</v>
      </c>
      <c r="J33" s="19" t="s">
        <v>107</v>
      </c>
      <c r="K33" s="19" t="s">
        <v>105</v>
      </c>
      <c r="L33" s="19" t="s">
        <v>108</v>
      </c>
    </row>
    <row r="34" spans="1:12">
      <c r="A34" s="9" t="s">
        <v>1239</v>
      </c>
      <c r="B34" s="30" t="s">
        <v>81</v>
      </c>
      <c r="C34" s="30" t="s">
        <v>664</v>
      </c>
      <c r="D34" s="35">
        <f>K34</f>
        <v>0.27720000000000006</v>
      </c>
      <c r="F34" s="9">
        <v>140</v>
      </c>
      <c r="G34" s="9">
        <v>100</v>
      </c>
      <c r="H34" s="9">
        <v>1</v>
      </c>
      <c r="I34" s="8">
        <v>1</v>
      </c>
      <c r="J34" s="8">
        <v>1.1000000000000001</v>
      </c>
      <c r="K34" s="15">
        <f>F34*G34*H34*I34*J34/10000*0.18</f>
        <v>0.27720000000000006</v>
      </c>
      <c r="L34" s="22">
        <v>0.1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stok kartları</vt:lpstr>
      <vt:lpstr>formüller</vt:lpstr>
      <vt:lpstr>larissa puf reçete</vt:lpstr>
      <vt:lpstr>Sayfa1</vt:lpstr>
      <vt:lpstr>Sayfa2</vt:lpstr>
      <vt:lpstr>LARİSSA PUF ürün ağacı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CUMA YILDIRIM</dc:creator>
  <cp:lastModifiedBy>CUMA YILDIRIM</cp:lastModifiedBy>
  <dcterms:created xsi:type="dcterms:W3CDTF">2023-06-06T13:01:17Z</dcterms:created>
  <dcterms:modified xsi:type="dcterms:W3CDTF">2025-11-01T17:12:57Z</dcterms:modified>
</cp:coreProperties>
</file>